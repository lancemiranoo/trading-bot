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d020590a04b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c83a2574e7694aea"/>
    <x:sheet xmlns:r="http://schemas.openxmlformats.org/officeDocument/2006/relationships" name="Dashboard" sheetId="2" r:id="R90ef403c575847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"/>
    <x:numFmt numFmtId="202" formatCode="$#,##0.00;[Red]-$#,##0.00"/>
    <x:numFmt numFmtId="203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4"/>
      <x:color rgb="FF0F172A"/>
      <x:name val="Carlito"/>
    </x:font>
    <x:font>
      <x:b/>
      <x:sz val="11"/>
      <x:color rgb="FF134E4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E293B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CCFBF1"/>
      </x:patternFill>
    </x:fill>
  </x:fills>
  <x:borders count="26">
    <x:border/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99F6E4"/>
      </x:left>
      <x:top style="thin">
        <x:color rgb="FF99F6E4"/>
      </x:top>
      <x:bottom style="thin">
        <x:color rgb="FF99F6E4"/>
      </x:bottom>
    </x:border>
    <x:border>
      <x:top style="thin">
        <x:color rgb="FF99F6E4"/>
      </x:top>
      <x:bottom style="thin">
        <x:color rgb="FF99F6E4"/>
      </x:bottom>
    </x:border>
    <x:border>
      <x:right style="thin">
        <x:color rgb="FF99F6E4"/>
      </x:right>
      <x:top style="thin">
        <x:color rgb="FF99F6E4"/>
      </x:top>
      <x:bottom style="thin">
        <x:color rgb="FF99F6E4"/>
      </x:bottom>
    </x:border>
    <x:border>
      <x:left style="thin">
        <x:color rgb="FF99F6E4"/>
      </x:left>
      <x:top style="thin">
        <x:color rgb="FF99F6E4"/>
      </x:top>
      <x:bottom style="thin">
        <x:color rgb="FF99F6E4"/>
      </x:bottom>
    </x:border>
    <x:border>
      <x:top style="thin">
        <x:color rgb="FF99F6E4"/>
      </x:top>
      <x:bottom style="thin">
        <x:color rgb="FF99F6E4"/>
      </x:bottom>
    </x:border>
    <x:border>
      <x:right style="thin">
        <x:color rgb="FF99F6E4"/>
      </x:right>
      <x:top style="thin">
        <x:color rgb="FF99F6E4"/>
      </x:top>
      <x:bottom style="thin">
        <x:color rgb="FF99F6E4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1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/>
    </x:xf>
    <x:xf numFmtId="0" fontId="4" fillId="5" borderId="9" xfId="0" applyNumberFormat="1" applyFont="1" applyFill="1" applyBorder="1" applyAlignment="1">
      <x:alignment horizontal="center"/>
    </x:xf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4" fillId="5" borderId="13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9" xfId="0" applyNumberFormat="1" applyFont="1" applyFill="1" applyBorder="1" applyAlignment="1">
      <x:alignment horizontal="center"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4" fillId="5" borderId="13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200" fontId="4" fillId="5" borderId="9" xfId="0" applyNumberFormat="1" applyFont="1" applyFill="1" applyBorder="1" applyAlignment="1">
      <x:alignment horizontal="center" vertical="center"/>
    </x:xf>
    <x:xf numFmtId="200" fontId="4" fillId="5" borderId="12" xfId="0" applyNumberFormat="1" applyFont="1" applyFill="1" applyBorder="1" applyAlignment="1">
      <x:alignment horizontal="center" vertical="center"/>
    </x:xf>
    <x:xf numFmtId="201" fontId="4" fillId="5" borderId="3" xfId="0" applyNumberFormat="1" applyFont="1" applyFill="1" applyBorder="1" applyAlignment="1">
      <x:alignment horizontal="center" vertical="center"/>
    </x:xf>
    <x:xf numFmtId="201" fontId="4" fillId="5" borderId="6" xfId="0" applyNumberFormat="1" applyFont="1" applyFill="1" applyBorder="1" applyAlignment="1">
      <x:alignment horizontal="center" vertical="center"/>
    </x:xf>
    <x:xf numFmtId="201" fontId="4" fillId="5" borderId="9" xfId="0" applyNumberFormat="1" applyFont="1" applyFill="1" applyBorder="1" applyAlignment="1">
      <x:alignment horizontal="center" vertical="center"/>
    </x:xf>
    <x:xf numFmtId="201" fontId="4" fillId="5" borderId="1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horizontal="left"/>
    </x:xf>
    <x:xf numFmtId="0" fontId="3" fillId="6" borderId="1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14" xfId="0" applyNumberFormat="1" applyFont="1" applyFill="1" applyBorder="1"/>
    <x:xf numFmtId="0" fontId="5" fillId="7" borderId="15" xfId="0" applyNumberFormat="1" applyFont="1" applyFill="1" applyBorder="1"/>
    <x:xf numFmtId="0" fontId="5" fillId="7" borderId="16" xfId="0" applyNumberFormat="1" applyFont="1" applyFill="1" applyBorder="1"/>
    <x:xf numFmtId="0" fontId="5" fillId="7" borderId="17" xfId="0" applyNumberFormat="1" applyFont="1" applyFill="1" applyBorder="1"/>
    <x:xf numFmtId="0" fontId="5" fillId="7" borderId="18" xfId="0" applyNumberFormat="1" applyFont="1" applyFill="1" applyBorder="1"/>
    <x:xf numFmtId="0" fontId="5" fillId="7" borderId="19" xfId="0" applyNumberFormat="1" applyFont="1" applyFill="1" applyBorder="1"/>
    <x:xf numFmtId="0" fontId="5" fillId="7" borderId="14" xfId="0" applyNumberFormat="1" applyFont="1" applyFill="1" applyBorder="1" applyAlignment="1">
      <x:alignment horizontal="center"/>
    </x:xf>
    <x:xf numFmtId="0" fontId="5" fillId="7" borderId="15" xfId="0" applyNumberFormat="1" applyFont="1" applyFill="1" applyBorder="1" applyAlignment="1">
      <x:alignment horizontal="center"/>
    </x:xf>
    <x:xf numFmtId="0" fontId="5" fillId="7" borderId="16" xfId="0" applyNumberFormat="1" applyFont="1" applyFill="1" applyBorder="1" applyAlignment="1">
      <x:alignment horizontal="center"/>
    </x:xf>
    <x:xf numFmtId="0" fontId="5" fillId="7" borderId="17" xfId="0" applyNumberFormat="1" applyFont="1" applyFill="1" applyBorder="1" applyAlignment="1">
      <x:alignment horizontal="center"/>
    </x:xf>
    <x:xf numFmtId="0" fontId="5" fillId="7" borderId="18" xfId="0" applyNumberFormat="1" applyFont="1" applyFill="1" applyBorder="1" applyAlignment="1">
      <x:alignment horizontal="center"/>
    </x:xf>
    <x:xf numFmtId="0" fontId="5" fillId="7" borderId="19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201" fontId="0" fillId="0" borderId="20" xfId="0" applyNumberFormat="1" applyFont="1" applyFill="1" applyBorder="1"/>
    <x:xf numFmtId="201" fontId="0" fillId="0" borderId="21" xfId="0" applyNumberFormat="1" applyFont="1" applyFill="1" applyBorder="1"/>
    <x:xf numFmtId="201" fontId="0" fillId="0" borderId="22" xfId="0" applyNumberFormat="1" applyFont="1" applyFill="1" applyBorder="1"/>
    <x:xf numFmtId="201" fontId="0" fillId="0" borderId="23" xfId="0" applyNumberFormat="1" applyFont="1" applyFill="1" applyBorder="1"/>
    <x:xf numFmtId="201" fontId="0" fillId="0" borderId="24" xfId="0" applyNumberFormat="1" applyFont="1" applyFill="1" applyBorder="1"/>
    <x:xf numFmtId="201" fontId="0" fillId="0" borderId="25" xfId="0" applyNumberFormat="1" applyFont="1" applyFill="1" applyBorder="1"/>
    <x:xf numFmtId="200" fontId="0" fillId="0" borderId="20" xfId="0" applyNumberFormat="1" applyFont="1" applyFill="1" applyBorder="1"/>
    <x:xf numFmtId="200" fontId="0" fillId="0" borderId="21" xfId="0" applyNumberFormat="1" applyFont="1" applyFill="1" applyBorder="1"/>
    <x:xf numFmtId="200" fontId="0" fillId="0" borderId="22" xfId="0" applyNumberFormat="1" applyFont="1" applyFill="1" applyBorder="1"/>
    <x:xf numFmtId="200" fontId="0" fillId="0" borderId="23" xfId="0" applyNumberFormat="1" applyFont="1" applyFill="1" applyBorder="1"/>
    <x:xf numFmtId="200" fontId="0" fillId="0" borderId="24" xfId="0" applyNumberFormat="1" applyFont="1" applyFill="1" applyBorder="1"/>
    <x:xf numFmtId="200" fontId="0" fillId="0" borderId="25" xfId="0" applyNumberFormat="1" applyFont="1" applyFill="1" applyBorder="1"/>
    <x:xf numFmtId="202" fontId="0" fillId="0" borderId="20" xfId="0" applyNumberFormat="1" applyFont="1" applyFill="1" applyBorder="1"/>
    <x:xf numFmtId="202" fontId="0" fillId="0" borderId="21" xfId="0" applyNumberFormat="1" applyFont="1" applyFill="1" applyBorder="1"/>
    <x:xf numFmtId="202" fontId="0" fillId="0" borderId="22" xfId="0" applyNumberFormat="1" applyFont="1" applyFill="1" applyBorder="1"/>
    <x:xf numFmtId="202" fontId="0" fillId="0" borderId="23" xfId="0" applyNumberFormat="1" applyFont="1" applyFill="1" applyBorder="1"/>
    <x:xf numFmtId="202" fontId="0" fillId="0" borderId="24" xfId="0" applyNumberFormat="1" applyFont="1" applyFill="1" applyBorder="1"/>
    <x:xf numFmtId="202" fontId="0" fillId="0" borderId="25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3" fillId="2" borderId="20" xfId="0" applyNumberFormat="1" applyFont="1" applyFill="1" applyBorder="1" applyAlignment="1">
      <x:alignment horizontal="center"/>
    </x:xf>
    <x:xf numFmtId="203" fontId="0" fillId="0" borderId="21" xfId="0" applyNumberFormat="1" applyFont="1" applyFill="1" applyBorder="1"/>
    <x:xf numFmtId="203" fontId="0" fillId="0" borderId="22" xfId="0" applyNumberFormat="1" applyFont="1" applyFill="1" applyBorder="1"/>
  </x:cellXfs>
  <x:cellStyles count="1">
    <x:cellStyle name="Normal" xfId="0"/>
  </x:cellStyles>
  <x:dxfs count="1">
    <x:dxf>
      <x:font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c313272024423c" /><Relationship Type="http://schemas.openxmlformats.org/officeDocument/2006/relationships/theme" Target="/xl/theme/theme1.xml" Id="Rd91e5eb306304228" /><Relationship Type="http://schemas.openxmlformats.org/officeDocument/2006/relationships/sharedStrings" Target="/xl/sharedStrings.xml" Id="Rfaac8a0a203a402f" /><Relationship Type="http://schemas.openxmlformats.org/officeDocument/2006/relationships/worksheet" Target="/xl/worksheets/sheet1.xml" Id="Rc83a2574e7694aea" /><Relationship Type="http://schemas.openxmlformats.org/officeDocument/2006/relationships/worksheet" Target="/xl/worksheets/sheet2.xml" Id="R90ef403c575847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14640e0a754aec" /><Relationship Type="http://schemas.openxmlformats.org/officeDocument/2006/relationships/chart" Target="/xl/drawings/charts/chart2.xml" Id="R305982207174462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Channels by Win Rate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Win Rate</c:v>
          </c:tx>
          <c:spPr>
            <a:solidFill xmlns:a="http://schemas.openxmlformats.org/drawingml/2006/main">
              <a:srgbClr val="16A34A"/>
            </a:solidFill>
          </c:spPr>
          <c:cat>
            <c:strRef>
              <c:f>'Dashboard'!$A$10:$A$19</c:f>
              <c:strCache>
                <c:ptCount val="0"/>
              </c:strCache>
            </c:strRef>
          </c:cat>
          <c:val>
            <c:numRef>
              <c:f>'Dashboard'!$E$10:$E$19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Trade Volume by Channel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Trades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'Dashboard'!$A$10:$A$19</c:f>
              <c:strCache>
                <c:ptCount val="0"/>
              </c:strCache>
            </c:strRef>
          </c:cat>
          <c:val>
            <c:numRef>
              <c:f>'Dashboard'!$B$10:$B$19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14640e0a754aec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5982207174462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desTable" displayName="TradesTable" ref="A1:L395" headerRowCount="1" totalsRowCount="0" totalsRowShown="0">
  <x:tableColumns count="12">
    <x:tableColumn id="1" name="Timestamp"/>
    <x:tableColumn id="2" name="Ticket"/>
    <x:tableColumn id="3" name="Symbol"/>
    <x:tableColumn id="4" name="Type"/>
    <x:tableColumn id="5" name="Status"/>
    <x:tableColumn id="6" name="Price"/>
    <x:tableColumn id="7" name="SL"/>
    <x:tableColumn id="8" name="TP"/>
    <x:tableColumn id="9" name="Profit"/>
    <x:tableColumn id="10" name="Loss"/>
    <x:tableColumn id="11" name="Channel"/>
    <x:tableColumn id="12" name="Outco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97e4795d994c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ab3eae0ffaa42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4" hidden="0" customWidth="1"/>
    <x:col min="4" max="4" width="10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8" hidden="0" customWidth="1"/>
    <x:col min="12" max="12" width="12" hidden="0" customWidth="1"/>
  </x:cols>
  <x:sheetData>
    <x:row r="1">
      <x:c r="A1" s="128" t="str">
        <x:v>Timestamp</x:v>
      </x:c>
      <x:c r="B1" s="128" t="str">
        <x:v>Ticket</x:v>
      </x:c>
      <x:c r="C1" s="128" t="str">
        <x:v>Symbol</x:v>
      </x:c>
      <x:c r="D1" s="128" t="str">
        <x:v>Type</x:v>
      </x:c>
      <x:c r="E1" s="128" t="str">
        <x:v>Status</x:v>
      </x:c>
      <x:c r="F1" s="128" t="str">
        <x:v>Price</x:v>
      </x:c>
      <x:c r="G1" s="128" t="str">
        <x:v>SL</x:v>
      </x:c>
      <x:c r="H1" s="128" t="str">
        <x:v>TP</x:v>
      </x:c>
      <x:c r="I1" s="128" t="str">
        <x:v>Profit</x:v>
      </x:c>
      <x:c r="J1" s="128" t="str">
        <x:v>Loss</x:v>
      </x:c>
      <x:c r="K1" s="128" t="str">
        <x:v>Channel</x:v>
      </x:c>
      <x:c r="L1" s="128" t="str">
        <x:v>Outcome</x:v>
      </x:c>
    </x:row>
    <x:row r="2">
      <x:c r="A2" s="99" t="str">
        <x:v>2026-06-08 03:34:50</x:v>
      </x:c>
      <x:c r="B2" s="99" t="str">
        <x:v>7027752</x:v>
      </x:c>
      <x:c r="C2" s="99" t="str">
        <x:v>XAUUSD-STD</x:v>
      </x:c>
      <x:c r="D2" s="99" t="str">
        <x:v>BUY</x:v>
      </x:c>
      <x:c r="E2" s="99" t="str">
        <x:v>CLOSED (LOSS)</x:v>
      </x:c>
      <x:c r="F2" s="129" t="str">
        <x:v>4273.00</x:v>
      </x:c>
      <x:c r="G2" s="129" t="str">
        <x:v>4273.00</x:v>
      </x:c>
      <x:c r="H2" s="129" t="str">
        <x:v>4291.00</x:v>
      </x:c>
      <x:c r="I2" s="129" t="str">
        <x:v>0.00</x:v>
      </x:c>
      <x:c r="J2" s="129" t="str">
        <x:v>13.95</x:v>
      </x:c>
      <x:c r="K2" s="99" t="str">
        <x:v>Mobile</x:v>
      </x:c>
      <x:c r="L2" s="99" t="str">
        <x:v>LOSS</x:v>
      </x:c>
    </x:row>
    <x:row r="3">
      <x:c r="A3" s="99" t="str">
        <x:v>2026-06-08 04:07:08</x:v>
      </x:c>
      <x:c r="B3" s="99" t="str">
        <x:v>7036144</x:v>
      </x:c>
      <x:c r="C3" s="99" t="str">
        <x:v>XAUUSD-STD</x:v>
      </x:c>
      <x:c r="D3" s="99" t="str">
        <x:v>SELL</x:v>
      </x:c>
      <x:c r="E3" s="99" t="str">
        <x:v>CLOSED (WIN)</x:v>
      </x:c>
      <x:c r="F3" s="129" t="str">
        <x:v>4295.63</x:v>
      </x:c>
      <x:c r="G3" s="129" t="str">
        <x:v>0.00</x:v>
      </x:c>
      <x:c r="H3" s="129" t="str">
        <x:v>0.00</x:v>
      </x:c>
      <x:c r="I3" s="129" t="str">
        <x:v>5.47</x:v>
      </x:c>
      <x:c r="J3" s="129" t="str">
        <x:v>0.00</x:v>
      </x:c>
      <x:c r="K3" s="99" t="str">
        <x:v>Mobile</x:v>
      </x:c>
      <x:c r="L3" s="99" t="str">
        <x:v>WIN</x:v>
      </x:c>
    </x:row>
    <x:row r="4">
      <x:c r="A4" s="99" t="str">
        <x:v>2026-06-08 04:34:21</x:v>
      </x:c>
      <x:c r="B4" s="99" t="str">
        <x:v>7035444</x:v>
      </x:c>
      <x:c r="C4" s="99" t="str">
        <x:v>XAUUSD-STD</x:v>
      </x:c>
      <x:c r="D4" s="99" t="str">
        <x:v>SELL</x:v>
      </x:c>
      <x:c r="E4" s="99" t="str">
        <x:v>CLOSED (LOSS)</x:v>
      </x:c>
      <x:c r="F4" s="129" t="str">
        <x:v>4304.52</x:v>
      </x:c>
      <x:c r="G4" s="129" t="str">
        <x:v>0.00</x:v>
      </x:c>
      <x:c r="H4" s="129" t="str">
        <x:v>0.00</x:v>
      </x:c>
      <x:c r="I4" s="129" t="str">
        <x:v>0.00</x:v>
      </x:c>
      <x:c r="J4" s="129" t="str">
        <x:v>48.94</x:v>
      </x:c>
      <x:c r="K4" s="99" t="str">
        <x:v>Mobile</x:v>
      </x:c>
      <x:c r="L4" s="99" t="str">
        <x:v>LOSS</x:v>
      </x:c>
    </x:row>
    <x:row r="5">
      <x:c r="A5" s="99" t="str">
        <x:v>2026-06-08 18:37:52</x:v>
      </x:c>
      <x:c r="B5" s="99" t="str">
        <x:v>7104455</x:v>
      </x:c>
      <x:c r="C5" s="99" t="str">
        <x:v>XAUUSD-STD</x:v>
      </x:c>
      <x:c r="D5" s="99" t="str">
        <x:v>BUY</x:v>
      </x:c>
      <x:c r="E5" s="99" t="str">
        <x:v>CLOSED (WIN)</x:v>
      </x:c>
      <x:c r="F5" s="129" t="str">
        <x:v>4321.74</x:v>
      </x:c>
      <x:c r="G5" s="129" t="str">
        <x:v>0.00</x:v>
      </x:c>
      <x:c r="H5" s="129" t="str">
        <x:v>0.00</x:v>
      </x:c>
      <x:c r="I5" s="129" t="str">
        <x:v>5.50</x:v>
      </x:c>
      <x:c r="J5" s="129" t="str">
        <x:v>0.00</x:v>
      </x:c>
      <x:c r="K5" s="99" t="str">
        <x:v>Mobile</x:v>
      </x:c>
      <x:c r="L5" s="99" t="str">
        <x:v>WIN</x:v>
      </x:c>
    </x:row>
    <x:row r="6">
      <x:c r="A6" s="99" t="str">
        <x:v>2026-06-08 21:28:25</x:v>
      </x:c>
      <x:c r="B6" s="99" t="str">
        <x:v>7112290</x:v>
      </x:c>
      <x:c r="C6" s="99" t="str">
        <x:v>XAUUSD-STD</x:v>
      </x:c>
      <x:c r="D6" s="99" t="str">
        <x:v>SELL</x:v>
      </x:c>
      <x:c r="E6" s="99" t="str">
        <x:v>CLOSED (WIN)</x:v>
      </x:c>
      <x:c r="F6" s="129" t="str">
        <x:v>4336.57</x:v>
      </x:c>
      <x:c r="G6" s="129" t="str">
        <x:v>0.00</x:v>
      </x:c>
      <x:c r="H6" s="129" t="str">
        <x:v>0.00</x:v>
      </x:c>
      <x:c r="I6" s="129" t="str">
        <x:v>0.77</x:v>
      </x:c>
      <x:c r="J6" s="129" t="str">
        <x:v>0.00</x:v>
      </x:c>
      <x:c r="K6" s="99" t="str">
        <x:v>Mobile</x:v>
      </x:c>
      <x:c r="L6" s="99" t="str">
        <x:v>WIN</x:v>
      </x:c>
    </x:row>
    <x:row r="7">
      <x:c r="A7" s="99" t="str">
        <x:v>2026-06-08 21:31:00</x:v>
      </x:c>
      <x:c r="B7" s="99" t="str">
        <x:v>7126352</x:v>
      </x:c>
      <x:c r="C7" s="99" t="str">
        <x:v>XAUUSD-STD</x:v>
      </x:c>
      <x:c r="D7" s="99" t="str">
        <x:v>BUY</x:v>
      </x:c>
      <x:c r="E7" s="99" t="str">
        <x:v>CLOSED (WIN)</x:v>
      </x:c>
      <x:c r="F7" s="129" t="str">
        <x:v>4336.68</x:v>
      </x:c>
      <x:c r="G7" s="129" t="str">
        <x:v>0.00</x:v>
      </x:c>
      <x:c r="H7" s="129" t="str">
        <x:v>0.00</x:v>
      </x:c>
      <x:c r="I7" s="129" t="str">
        <x:v>0.88</x:v>
      </x:c>
      <x:c r="J7" s="129" t="str">
        <x:v>0.00</x:v>
      </x:c>
      <x:c r="K7" s="99" t="str">
        <x:v>Mobile</x:v>
      </x:c>
      <x:c r="L7" s="99" t="str">
        <x:v>WIN</x:v>
      </x:c>
    </x:row>
    <x:row r="8">
      <x:c r="A8" s="99" t="str">
        <x:v>2026-06-08 21:44:57</x:v>
      </x:c>
      <x:c r="B8" s="99" t="str">
        <x:v>7110224</x:v>
      </x:c>
      <x:c r="C8" s="99" t="str">
        <x:v>XAUUSD-STD</x:v>
      </x:c>
      <x:c r="D8" s="99" t="str">
        <x:v>SELL</x:v>
      </x:c>
      <x:c r="E8" s="99" t="str">
        <x:v>CLOSED (LOSS)</x:v>
      </x:c>
      <x:c r="F8" s="129" t="str">
        <x:v>4337.98</x:v>
      </x:c>
      <x:c r="G8" s="129" t="str">
        <x:v>4340.00</x:v>
      </x:c>
      <x:c r="H8" s="129" t="str">
        <x:v>4320.00</x:v>
      </x:c>
      <x:c r="I8" s="129" t="str">
        <x:v>0.00</x:v>
      </x:c>
      <x:c r="J8" s="129" t="str">
        <x:v>10.43</x:v>
      </x:c>
      <x:c r="K8" s="99" t="str">
        <x:v>Mobile</x:v>
      </x:c>
      <x:c r="L8" s="99" t="str">
        <x:v>LOSS</x:v>
      </x:c>
    </x:row>
    <x:row r="9">
      <x:c r="A9" s="99" t="str">
        <x:v>2026-06-08 21:49:17</x:v>
      </x:c>
      <x:c r="B9" s="99" t="str">
        <x:v>7127823</x:v>
      </x:c>
      <x:c r="C9" s="99" t="str">
        <x:v>XAUUSD-STD</x:v>
      </x:c>
      <x:c r="D9" s="99" t="str">
        <x:v>BUY</x:v>
      </x:c>
      <x:c r="E9" s="99" t="str">
        <x:v>CLOSED (WIN)</x:v>
      </x:c>
      <x:c r="F9" s="129" t="str">
        <x:v>4338.57</x:v>
      </x:c>
      <x:c r="G9" s="129" t="str">
        <x:v>0.00</x:v>
      </x:c>
      <x:c r="H9" s="129" t="str">
        <x:v>0.00</x:v>
      </x:c>
      <x:c r="I9" s="129" t="str">
        <x:v>9.79</x:v>
      </x:c>
      <x:c r="J9" s="129" t="str">
        <x:v>0.00</x:v>
      </x:c>
      <x:c r="K9" s="99" t="str">
        <x:v>Mobile</x:v>
      </x:c>
      <x:c r="L9" s="99" t="str">
        <x:v>WIN</x:v>
      </x:c>
    </x:row>
    <x:row r="10">
      <x:c r="A10" s="99" t="str">
        <x:v>2026-06-08 21:52:07</x:v>
      </x:c>
      <x:c r="B10" s="99" t="str">
        <x:v>7128378</x:v>
      </x:c>
      <x:c r="C10" s="99" t="str">
        <x:v>XAUUSD-STD</x:v>
      </x:c>
      <x:c r="D10" s="99" t="str">
        <x:v>SELL</x:v>
      </x:c>
      <x:c r="E10" s="99" t="str">
        <x:v>CLOSED (LOSS)</x:v>
      </x:c>
      <x:c r="F10" s="129" t="str">
        <x:v>4338.33</x:v>
      </x:c>
      <x:c r="G10" s="129" t="str">
        <x:v>0.00</x:v>
      </x:c>
      <x:c r="H10" s="129" t="str">
        <x:v>0.00</x:v>
      </x:c>
      <x:c r="I10" s="129" t="str">
        <x:v>0.00</x:v>
      </x:c>
      <x:c r="J10" s="129" t="str">
        <x:v>0.59</x:v>
      </x:c>
      <x:c r="K10" s="99" t="str">
        <x:v>Mobile</x:v>
      </x:c>
      <x:c r="L10" s="99" t="str">
        <x:v>LOSS</x:v>
      </x:c>
    </x:row>
    <x:row r="11">
      <x:c r="A11" s="99" t="str">
        <x:v>2026-06-08 21:55:07</x:v>
      </x:c>
      <x:c r="B11" s="99" t="str">
        <x:v>7128480</x:v>
      </x:c>
      <x:c r="C11" s="99" t="str">
        <x:v>XAUUSD-STD</x:v>
      </x:c>
      <x:c r="D11" s="99" t="str">
        <x:v>BUY</x:v>
      </x:c>
      <x:c r="E11" s="99" t="str">
        <x:v>CLOSED (WIN)</x:v>
      </x:c>
      <x:c r="F11" s="129" t="str">
        <x:v>4338.82</x:v>
      </x:c>
      <x:c r="G11" s="129" t="str">
        <x:v>0.00</x:v>
      </x:c>
      <x:c r="H11" s="129" t="str">
        <x:v>0.00</x:v>
      </x:c>
      <x:c r="I11" s="129" t="str">
        <x:v>2.57</x:v>
      </x:c>
      <x:c r="J11" s="129" t="str">
        <x:v>0.00</x:v>
      </x:c>
      <x:c r="K11" s="99" t="str">
        <x:v>Mobile</x:v>
      </x:c>
      <x:c r="L11" s="99" t="str">
        <x:v>WIN</x:v>
      </x:c>
    </x:row>
    <x:row r="12">
      <x:c r="A12" s="99" t="str">
        <x:v>2026-06-09 00:22:27</x:v>
      </x:c>
      <x:c r="B12" s="99" t="str">
        <x:v>7138287</x:v>
      </x:c>
      <x:c r="C12" s="99" t="str">
        <x:v>XAUUSD-STD</x:v>
      </x:c>
      <x:c r="D12" s="99" t="str">
        <x:v>BUY</x:v>
      </x:c>
      <x:c r="E12" s="99" t="str">
        <x:v>CLOSED (WIN)</x:v>
      </x:c>
      <x:c r="F12" s="129" t="str">
        <x:v>4343.33</x:v>
      </x:c>
      <x:c r="G12" s="129" t="str">
        <x:v>0.00</x:v>
      </x:c>
      <x:c r="H12" s="129" t="str">
        <x:v>0.00</x:v>
      </x:c>
      <x:c r="I12" s="129" t="str">
        <x:v>2.40</x:v>
      </x:c>
      <x:c r="J12" s="129" t="str">
        <x:v>0.00</x:v>
      </x:c>
      <x:c r="K12" s="99" t="str">
        <x:v>Mobile</x:v>
      </x:c>
      <x:c r="L12" s="99" t="str">
        <x:v>WIN</x:v>
      </x:c>
    </x:row>
    <x:row r="13">
      <x:c r="A13" s="99" t="str">
        <x:v>2026-06-09 00:27:53</x:v>
      </x:c>
      <x:c r="B13" s="99" t="str">
        <x:v>7138495</x:v>
      </x:c>
      <x:c r="C13" s="99" t="str">
        <x:v>XAUUSD-STD</x:v>
      </x:c>
      <x:c r="D13" s="99" t="str">
        <x:v>BUY</x:v>
      </x:c>
      <x:c r="E13" s="99" t="str">
        <x:v>CLOSED (LOSS)</x:v>
      </x:c>
      <x:c r="F13" s="129" t="str">
        <x:v>4342.31</x:v>
      </x:c>
      <x:c r="G13" s="129" t="str">
        <x:v>0.00</x:v>
      </x:c>
      <x:c r="H13" s="129" t="str">
        <x:v>0.00</x:v>
      </x:c>
      <x:c r="I13" s="129" t="str">
        <x:v>0.00</x:v>
      </x:c>
      <x:c r="J13" s="129" t="str">
        <x:v>14.99</x:v>
      </x:c>
      <x:c r="K13" s="99" t="str">
        <x:v>Mobile</x:v>
      </x:c>
      <x:c r="L13" s="99" t="str">
        <x:v>LOSS</x:v>
      </x:c>
    </x:row>
    <x:row r="14">
      <x:c r="A14" s="99" t="str">
        <x:v>2026-06-09 00:29:18</x:v>
      </x:c>
      <x:c r="B14" s="99" t="str">
        <x:v>7138656</x:v>
      </x:c>
      <x:c r="C14" s="99" t="str">
        <x:v>XAUUSD-STD</x:v>
      </x:c>
      <x:c r="D14" s="99" t="str">
        <x:v>SELL</x:v>
      </x:c>
      <x:c r="E14" s="99" t="str">
        <x:v>CLOSED (LOSS)</x:v>
      </x:c>
      <x:c r="F14" s="129" t="str">
        <x:v>4339.77</x:v>
      </x:c>
      <x:c r="G14" s="129" t="str">
        <x:v>0.00</x:v>
      </x:c>
      <x:c r="H14" s="129" t="str">
        <x:v>0.00</x:v>
      </x:c>
      <x:c r="I14" s="129" t="str">
        <x:v>0.00</x:v>
      </x:c>
      <x:c r="J14" s="129" t="str">
        <x:v>0.53</x:v>
      </x:c>
      <x:c r="K14" s="99" t="str">
        <x:v>Mobile</x:v>
      </x:c>
      <x:c r="L14" s="99" t="str">
        <x:v>LOSS</x:v>
      </x:c>
    </x:row>
    <x:row r="15">
      <x:c r="A15" s="99" t="str">
        <x:v>2026-06-09 00:38:19</x:v>
      </x:c>
      <x:c r="B15" s="99" t="str">
        <x:v>7139427</x:v>
      </x:c>
      <x:c r="C15" s="99" t="str">
        <x:v>XAUUSD-STD</x:v>
      </x:c>
      <x:c r="D15" s="99" t="str">
        <x:v>BUY</x:v>
      </x:c>
      <x:c r="E15" s="99" t="str">
        <x:v>CLOSED (WIN)</x:v>
      </x:c>
      <x:c r="F15" s="129" t="str">
        <x:v>4338.08</x:v>
      </x:c>
      <x:c r="G15" s="129" t="str">
        <x:v>0.00</x:v>
      </x:c>
      <x:c r="H15" s="129" t="str">
        <x:v>0.00</x:v>
      </x:c>
      <x:c r="I15" s="129" t="str">
        <x:v>1.25</x:v>
      </x:c>
      <x:c r="J15" s="129" t="str">
        <x:v>0.00</x:v>
      </x:c>
      <x:c r="K15" s="99" t="str">
        <x:v>Mobile</x:v>
      </x:c>
      <x:c r="L15" s="99" t="str">
        <x:v>WIN</x:v>
      </x:c>
    </x:row>
    <x:row r="16">
      <x:c r="A16" s="99" t="str">
        <x:v>2026-06-09 00:40:59</x:v>
      </x:c>
      <x:c r="B16" s="99" t="str">
        <x:v>7139531</x:v>
      </x:c>
      <x:c r="C16" s="99" t="str">
        <x:v>XAUUSD-STD</x:v>
      </x:c>
      <x:c r="D16" s="99" t="str">
        <x:v>BUY</x:v>
      </x:c>
      <x:c r="E16" s="99" t="str">
        <x:v>CLOSED (LOSS)</x:v>
      </x:c>
      <x:c r="F16" s="129" t="str">
        <x:v>4337.68</x:v>
      </x:c>
      <x:c r="G16" s="129" t="str">
        <x:v>0.00</x:v>
      </x:c>
      <x:c r="H16" s="129" t="str">
        <x:v>0.00</x:v>
      </x:c>
      <x:c r="I16" s="129" t="str">
        <x:v>0.00</x:v>
      </x:c>
      <x:c r="J16" s="129" t="str">
        <x:v>5.29</x:v>
      </x:c>
      <x:c r="K16" s="99" t="str">
        <x:v>Mobile</x:v>
      </x:c>
      <x:c r="L16" s="99" t="str">
        <x:v>LOSS</x:v>
      </x:c>
    </x:row>
    <x:row r="17">
      <x:c r="A17" s="99" t="str">
        <x:v>2026-06-09 01:14:42</x:v>
      </x:c>
      <x:c r="B17" s="99" t="str">
        <x:v>7140014</x:v>
      </x:c>
      <x:c r="C17" s="99" t="str">
        <x:v>XAUUSD-STD</x:v>
      </x:c>
      <x:c r="D17" s="99" t="str">
        <x:v>BUY</x:v>
      </x:c>
      <x:c r="E17" s="99" t="str">
        <x:v>CLOSED (LOSS)</x:v>
      </x:c>
      <x:c r="F17" s="129" t="str">
        <x:v>4327.80</x:v>
      </x:c>
      <x:c r="G17" s="129" t="str">
        <x:v>0.00</x:v>
      </x:c>
      <x:c r="H17" s="129" t="str">
        <x:v>0.00</x:v>
      </x:c>
      <x:c r="I17" s="129" t="str">
        <x:v>0.00</x:v>
      </x:c>
      <x:c r="J17" s="129" t="str">
        <x:v>19.29</x:v>
      </x:c>
      <x:c r="K17" s="99" t="str">
        <x:v>Mobile</x:v>
      </x:c>
      <x:c r="L17" s="99" t="str">
        <x:v>LOSS</x:v>
      </x:c>
    </x:row>
    <x:row r="18">
      <x:c r="A18" s="99" t="str">
        <x:v>2026-06-09 01:18:03</x:v>
      </x:c>
      <x:c r="B18" s="99" t="str">
        <x:v>7140385</x:v>
      </x:c>
      <x:c r="C18" s="99" t="str">
        <x:v>XAUUSD-STD</x:v>
      </x:c>
      <x:c r="D18" s="99" t="str">
        <x:v>SELL</x:v>
      </x:c>
      <x:c r="E18" s="99" t="str">
        <x:v>CLOSED (WIN)</x:v>
      </x:c>
      <x:c r="F18" s="129" t="str">
        <x:v>4328.29</x:v>
      </x:c>
      <x:c r="G18" s="129" t="str">
        <x:v>0.00</x:v>
      </x:c>
      <x:c r="H18" s="129" t="str">
        <x:v>0.00</x:v>
      </x:c>
      <x:c r="I18" s="129" t="str">
        <x:v>4.68</x:v>
      </x:c>
      <x:c r="J18" s="129" t="str">
        <x:v>0.00</x:v>
      </x:c>
      <x:c r="K18" s="99" t="str">
        <x:v>Mobile</x:v>
      </x:c>
      <x:c r="L18" s="99" t="str">
        <x:v>WIN</x:v>
      </x:c>
    </x:row>
    <x:row r="19">
      <x:c r="A19" s="99" t="str">
        <x:v>2026-06-09 03:30:42</x:v>
      </x:c>
      <x:c r="B19" s="99" t="str">
        <x:v>7145738</x:v>
      </x:c>
      <x:c r="C19" s="99" t="str">
        <x:v>XAUUSD-STD</x:v>
      </x:c>
      <x:c r="D19" s="99" t="str">
        <x:v>BUY</x:v>
      </x:c>
      <x:c r="E19" s="99" t="str">
        <x:v>CLOSED (WIN)</x:v>
      </x:c>
      <x:c r="F19" s="129" t="str">
        <x:v>4328.33</x:v>
      </x:c>
      <x:c r="G19" s="129" t="str">
        <x:v>4316.00</x:v>
      </x:c>
      <x:c r="H19" s="129" t="str">
        <x:v>4328.00</x:v>
      </x:c>
      <x:c r="I19" s="129" t="str">
        <x:v>4.00</x:v>
      </x:c>
      <x:c r="J19" s="129" t="str">
        <x:v>0.00</x:v>
      </x:c>
      <x:c r="K19" s="99" t="str">
        <x:v>JACKY GOLD PR</x:v>
      </x:c>
      <x:c r="L19" s="99" t="str">
        <x:v>WIN</x:v>
      </x:c>
    </x:row>
    <x:row r="20">
      <x:c r="A20" s="99" t="str">
        <x:v>2026-06-09 05:00:16</x:v>
      </x:c>
      <x:c r="B20" s="99" t="str">
        <x:v>7149563</x:v>
      </x:c>
      <x:c r="C20" s="99" t="str">
        <x:v>XAUUSD-STD</x:v>
      </x:c>
      <x:c r="D20" s="99" t="str">
        <x:v>BUY</x:v>
      </x:c>
      <x:c r="E20" s="99" t="str">
        <x:v>CLOSED (WIN)</x:v>
      </x:c>
      <x:c r="F20" s="129" t="str">
        <x:v>4337.96</x:v>
      </x:c>
      <x:c r="G20" s="129" t="str">
        <x:v>0.00</x:v>
      </x:c>
      <x:c r="H20" s="129" t="str">
        <x:v>0.00</x:v>
      </x:c>
      <x:c r="I20" s="129" t="str">
        <x:v>11.59</x:v>
      </x:c>
      <x:c r="J20" s="129" t="str">
        <x:v>0.00</x:v>
      </x:c>
      <x:c r="K20" s="99" t="str">
        <x:v>Mobile</x:v>
      </x:c>
      <x:c r="L20" s="99" t="str">
        <x:v>WIN</x:v>
      </x:c>
    </x:row>
    <x:row r="21">
      <x:c r="A21" s="99" t="str">
        <x:v>2026-06-09 05:24:43</x:v>
      </x:c>
      <x:c r="B21" s="99" t="str">
        <x:v>7150629</x:v>
      </x:c>
      <x:c r="C21" s="99" t="str">
        <x:v>XAUUSD-STD</x:v>
      </x:c>
      <x:c r="D21" s="99" t="str">
        <x:v>BUY</x:v>
      </x:c>
      <x:c r="E21" s="99" t="str">
        <x:v>CLOSED (WIN)</x:v>
      </x:c>
      <x:c r="F21" s="129" t="str">
        <x:v>4337.74</x:v>
      </x:c>
      <x:c r="G21" s="129" t="str">
        <x:v>0.00</x:v>
      </x:c>
      <x:c r="H21" s="129" t="str">
        <x:v>0.00</x:v>
      </x:c>
      <x:c r="I21" s="129" t="str">
        <x:v>1.04</x:v>
      </x:c>
      <x:c r="J21" s="129" t="str">
        <x:v>0.00</x:v>
      </x:c>
      <x:c r="K21" s="99" t="str">
        <x:v>Mobile</x:v>
      </x:c>
      <x:c r="L21" s="99" t="str">
        <x:v>WIN</x:v>
      </x:c>
    </x:row>
    <x:row r="22">
      <x:c r="A22" s="99" t="str">
        <x:v>2026-06-09 05:59:47</x:v>
      </x:c>
      <x:c r="B22" s="99" t="str">
        <x:v>7154040</x:v>
      </x:c>
      <x:c r="C22" s="99" t="str">
        <x:v>XAUUSD-STD</x:v>
      </x:c>
      <x:c r="D22" s="99" t="str">
        <x:v>SELL</x:v>
      </x:c>
      <x:c r="E22" s="99" t="str">
        <x:v>CLOSED (WIN)</x:v>
      </x:c>
      <x:c r="F22" s="129" t="str">
        <x:v>4340.00</x:v>
      </x:c>
      <x:c r="G22" s="129" t="str">
        <x:v>4355.00</x:v>
      </x:c>
      <x:c r="H22" s="129" t="str">
        <x:v>4340.00</x:v>
      </x:c>
      <x:c r="I22" s="129" t="str">
        <x:v>4.44</x:v>
      </x:c>
      <x:c r="J22" s="129" t="str">
        <x:v>0.00</x:v>
      </x:c>
      <x:c r="K22" s="99" t="str">
        <x:v>|| XAUUSD Usa</x:v>
      </x:c>
      <x:c r="L22" s="99" t="str">
        <x:v>WIN</x:v>
      </x:c>
    </x:row>
    <x:row r="23">
      <x:c r="A23" s="99" t="str">
        <x:v>2026-06-09 07:21:35</x:v>
      </x:c>
      <x:c r="B23" s="99" t="str">
        <x:v>7151040</x:v>
      </x:c>
      <x:c r="C23" s="99" t="str">
        <x:v>XAUUSD-STD</x:v>
      </x:c>
      <x:c r="D23" s="99" t="str">
        <x:v>SELL</x:v>
      </x:c>
      <x:c r="E23" s="99" t="str">
        <x:v>CLOSED (WIN)</x:v>
      </x:c>
      <x:c r="F23" s="129" t="str">
        <x:v>4332.00</x:v>
      </x:c>
      <x:c r="G23" s="129" t="str">
        <x:v>4348.00</x:v>
      </x:c>
      <x:c r="H23" s="129" t="str">
        <x:v>4332.00</x:v>
      </x:c>
      <x:c r="I23" s="129" t="str">
        <x:v>14.52</x:v>
      </x:c>
      <x:c r="J23" s="129" t="str">
        <x:v>0.00</x:v>
      </x:c>
      <x:c r="K23" s="99" t="str">
        <x:v>Mobile</x:v>
      </x:c>
      <x:c r="L23" s="99" t="str">
        <x:v>WIN</x:v>
      </x:c>
    </x:row>
    <x:row r="24">
      <x:c r="A24" s="99" t="str">
        <x:v>2026-06-09 07:49:02</x:v>
      </x:c>
      <x:c r="B24" s="99" t="str">
        <x:v>7162824</x:v>
      </x:c>
      <x:c r="C24" s="99" t="str">
        <x:v>XAUUSD-STD</x:v>
      </x:c>
      <x:c r="D24" s="99" t="str">
        <x:v>SELL</x:v>
      </x:c>
      <x:c r="E24" s="99" t="str">
        <x:v>CLOSED (LOSS)</x:v>
      </x:c>
      <x:c r="F24" s="129" t="str">
        <x:v>4354.00</x:v>
      </x:c>
      <x:c r="G24" s="129" t="str">
        <x:v>4354.00</x:v>
      </x:c>
      <x:c r="H24" s="129" t="str">
        <x:v>4340.00</x:v>
      </x:c>
      <x:c r="I24" s="129" t="str">
        <x:v>0.00</x:v>
      </x:c>
      <x:c r="J24" s="129" t="str">
        <x:v>12.79</x:v>
      </x:c>
      <x:c r="K24" s="99" t="str">
        <x:v>FOREX EXPERT</x:v>
      </x:c>
      <x:c r="L24" s="99" t="str">
        <x:v>LOSS</x:v>
      </x:c>
    </x:row>
    <x:row r="25">
      <x:c r="A25" s="99" t="str">
        <x:v>2026-06-09 10:14:47</x:v>
      </x:c>
      <x:c r="B25" s="99" t="str">
        <x:v>7200562</x:v>
      </x:c>
      <x:c r="C25" s="99" t="str">
        <x:v>XAUUSD-STD</x:v>
      </x:c>
      <x:c r="D25" s="99" t="str">
        <x:v>BUY</x:v>
      </x:c>
      <x:c r="E25" s="99" t="str">
        <x:v>CLOSED (LOSS)</x:v>
      </x:c>
      <x:c r="F25" s="129" t="str">
        <x:v>4259.00</x:v>
      </x:c>
      <x:c r="G25" s="129" t="str">
        <x:v>4259.00</x:v>
      </x:c>
      <x:c r="H25" s="129" t="str">
        <x:v>4274.00</x:v>
      </x:c>
      <x:c r="I25" s="129" t="str">
        <x:v>0.00</x:v>
      </x:c>
      <x:c r="J25" s="129" t="str">
        <x:v>15.04</x:v>
      </x:c>
      <x:c r="K25" s="99" t="str">
        <x:v>BEST XAU/USD</x:v>
      </x:c>
      <x:c r="L25" s="99" t="str">
        <x:v>LOSS</x:v>
      </x:c>
    </x:row>
    <x:row r="26">
      <x:c r="A26" s="99" t="str">
        <x:v>2026-06-09 18:32:11</x:v>
      </x:c>
      <x:c r="B26" s="99" t="str">
        <x:v>7246005</x:v>
      </x:c>
      <x:c r="C26" s="99" t="str">
        <x:v>XAUUSD-STD</x:v>
      </x:c>
      <x:c r="D26" s="99" t="str">
        <x:v>BUY</x:v>
      </x:c>
      <x:c r="E26" s="99" t="str">
        <x:v>CLOSED (LOSS)</x:v>
      </x:c>
      <x:c r="F26" s="129" t="str">
        <x:v>4213.85</x:v>
      </x:c>
      <x:c r="G26" s="129" t="str">
        <x:v>0.00</x:v>
      </x:c>
      <x:c r="H26" s="129" t="str">
        <x:v>0.00</x:v>
      </x:c>
      <x:c r="I26" s="129" t="str">
        <x:v>0.00</x:v>
      </x:c>
      <x:c r="J26" s="129" t="str">
        <x:v>15.14</x:v>
      </x:c>
      <x:c r="K26" s="99" t="str">
        <x:v>Mobile</x:v>
      </x:c>
      <x:c r="L26" s="99" t="str">
        <x:v>LOSS</x:v>
      </x:c>
    </x:row>
    <x:row r="27">
      <x:c r="A27" s="99" t="str">
        <x:v>2026-06-09 18:37:17</x:v>
      </x:c>
      <x:c r="B27" s="99" t="str">
        <x:v>7247108</x:v>
      </x:c>
      <x:c r="C27" s="99" t="str">
        <x:v>XAUUSD-STD</x:v>
      </x:c>
      <x:c r="D27" s="99" t="str">
        <x:v>SELL</x:v>
      </x:c>
      <x:c r="E27" s="99" t="str">
        <x:v>CLOSED (WIN)</x:v>
      </x:c>
      <x:c r="F27" s="129" t="str">
        <x:v>4204.48</x:v>
      </x:c>
      <x:c r="G27" s="129" t="str">
        <x:v>0.00</x:v>
      </x:c>
      <x:c r="H27" s="129" t="str">
        <x:v>0.00</x:v>
      </x:c>
      <x:c r="I27" s="129" t="str">
        <x:v>42.20</x:v>
      </x:c>
      <x:c r="J27" s="129" t="str">
        <x:v>0.00</x:v>
      </x:c>
      <x:c r="K27" s="99" t="str">
        <x:v>Mobile</x:v>
      </x:c>
      <x:c r="L27" s="99" t="str">
        <x:v>WIN</x:v>
      </x:c>
    </x:row>
    <x:row r="28">
      <x:c r="A28" s="99" t="str">
        <x:v>2026-06-09 19:17:46</x:v>
      </x:c>
      <x:c r="B28" s="99" t="str">
        <x:v>7254417</x:v>
      </x:c>
      <x:c r="C28" s="99" t="str">
        <x:v>XAUUSD-STD</x:v>
      </x:c>
      <x:c r="D28" s="99" t="str">
        <x:v>SELL</x:v>
      </x:c>
      <x:c r="E28" s="99" t="str">
        <x:v>CLOSED (LOSS)</x:v>
      </x:c>
      <x:c r="F28" s="129" t="str">
        <x:v>4214.28</x:v>
      </x:c>
      <x:c r="G28" s="129" t="str">
        <x:v>0.00</x:v>
      </x:c>
      <x:c r="H28" s="129" t="str">
        <x:v>0.00</x:v>
      </x:c>
      <x:c r="I28" s="129" t="str">
        <x:v>0.00</x:v>
      </x:c>
      <x:c r="J28" s="129" t="str">
        <x:v>57.46</x:v>
      </x:c>
      <x:c r="K28" s="99" t="str">
        <x:v>Mobile</x:v>
      </x:c>
      <x:c r="L28" s="99" t="str">
        <x:v>LOSS</x:v>
      </x:c>
    </x:row>
    <x:row r="29">
      <x:c r="A29" s="99" t="str">
        <x:v>2026-06-09 19:28:07</x:v>
      </x:c>
      <x:c r="B29" s="99" t="str">
        <x:v>7256240</x:v>
      </x:c>
      <x:c r="C29" s="99" t="str">
        <x:v>XAUUSD-STD</x:v>
      </x:c>
      <x:c r="D29" s="99" t="str">
        <x:v>SELL</x:v>
      </x:c>
      <x:c r="E29" s="99" t="str">
        <x:v>CLOSED (LOSS)</x:v>
      </x:c>
      <x:c r="F29" s="129" t="str">
        <x:v>4204.00</x:v>
      </x:c>
      <x:c r="G29" s="129" t="str">
        <x:v>0.00</x:v>
      </x:c>
      <x:c r="H29" s="129" t="str">
        <x:v>0.00</x:v>
      </x:c>
      <x:c r="I29" s="129" t="str">
        <x:v>0.00</x:v>
      </x:c>
      <x:c r="J29" s="129" t="str">
        <x:v>18.58</x:v>
      </x:c>
      <x:c r="K29" s="99" t="str">
        <x:v>Mobile</x:v>
      </x:c>
      <x:c r="L29" s="99" t="str">
        <x:v>LOSS</x:v>
      </x:c>
    </x:row>
    <x:row r="30">
      <x:c r="A30" s="99" t="str">
        <x:v>2026-06-09 19:38:33</x:v>
      </x:c>
      <x:c r="B30" s="99" t="str">
        <x:v>7256392</x:v>
      </x:c>
      <x:c r="C30" s="99" t="str">
        <x:v>XAUUSD-STD</x:v>
      </x:c>
      <x:c r="D30" s="99" t="str">
        <x:v>SELL</x:v>
      </x:c>
      <x:c r="E30" s="99" t="str">
        <x:v>CLOSED (LOSS)</x:v>
      </x:c>
      <x:c r="F30" s="129" t="str">
        <x:v>4202.83</x:v>
      </x:c>
      <x:c r="G30" s="129" t="str">
        <x:v>0.00</x:v>
      </x:c>
      <x:c r="H30" s="129" t="str">
        <x:v>0.00</x:v>
      </x:c>
      <x:c r="I30" s="129" t="str">
        <x:v>0.00</x:v>
      </x:c>
      <x:c r="J30" s="129" t="str">
        <x:v>0.59</x:v>
      </x:c>
      <x:c r="K30" s="99" t="str">
        <x:v>Mobile</x:v>
      </x:c>
      <x:c r="L30" s="99" t="str">
        <x:v>LOSS</x:v>
      </x:c>
    </x:row>
    <x:row r="31">
      <x:c r="A31" s="99" t="str">
        <x:v>2026-06-09 21:28:33</x:v>
      </x:c>
      <x:c r="B31" s="99" t="str">
        <x:v>7268468</x:v>
      </x:c>
      <x:c r="C31" s="99" t="str">
        <x:v>XAUUSD-STD</x:v>
      </x:c>
      <x:c r="D31" s="99" t="str">
        <x:v>SELL</x:v>
      </x:c>
      <x:c r="E31" s="99" t="str">
        <x:v>CLOSED (WIN)</x:v>
      </x:c>
      <x:c r="F31" s="129" t="str">
        <x:v>4176.00</x:v>
      </x:c>
      <x:c r="G31" s="129" t="str">
        <x:v>4189.00</x:v>
      </x:c>
      <x:c r="H31" s="129" t="str">
        <x:v>4176.00</x:v>
      </x:c>
      <x:c r="I31" s="129" t="str">
        <x:v>4.18</x:v>
      </x:c>
      <x:c r="J31" s="129" t="str">
        <x:v>0.00</x:v>
      </x:c>
      <x:c r="K31" s="99" t="str">
        <x:v>XAUUSD/TRADIN</x:v>
      </x:c>
      <x:c r="L31" s="99" t="str">
        <x:v>WIN</x:v>
      </x:c>
    </x:row>
    <x:row r="32">
      <x:c r="A32" s="99" t="str">
        <x:v>2026-06-09 21:48:10</x:v>
      </x:c>
      <x:c r="B32" s="99" t="str">
        <x:v>7270085</x:v>
      </x:c>
      <x:c r="C32" s="99" t="str">
        <x:v>XAUUSD-STD</x:v>
      </x:c>
      <x:c r="D32" s="99" t="str">
        <x:v>BUY</x:v>
      </x:c>
      <x:c r="E32" s="99" t="str">
        <x:v>CLOSED (WIN)</x:v>
      </x:c>
      <x:c r="F32" s="129" t="str">
        <x:v>4183.54</x:v>
      </x:c>
      <x:c r="G32" s="129" t="str">
        <x:v>0.00</x:v>
      </x:c>
      <x:c r="H32" s="129" t="str">
        <x:v>0.00</x:v>
      </x:c>
      <x:c r="I32" s="129" t="str">
        <x:v>1.12</x:v>
      </x:c>
      <x:c r="J32" s="129" t="str">
        <x:v>0.00</x:v>
      </x:c>
      <x:c r="K32" s="99" t="str">
        <x:v>Mobile</x:v>
      </x:c>
      <x:c r="L32" s="99" t="str">
        <x:v>WIN</x:v>
      </x:c>
    </x:row>
    <x:row r="33">
      <x:c r="A33" s="99" t="str">
        <x:v>2026-06-09 23:02:12</x:v>
      </x:c>
      <x:c r="B33" s="99" t="str">
        <x:v>7273316</x:v>
      </x:c>
      <x:c r="C33" s="99" t="str">
        <x:v>XAUUSD-STD</x:v>
      </x:c>
      <x:c r="D33" s="99" t="str">
        <x:v>BUY</x:v>
      </x:c>
      <x:c r="E33" s="99" t="str">
        <x:v>CLOSED (WIN)</x:v>
      </x:c>
      <x:c r="F33" s="129" t="str">
        <x:v>4176.17</x:v>
      </x:c>
      <x:c r="G33" s="129" t="str">
        <x:v>4164.00</x:v>
      </x:c>
      <x:c r="H33" s="129" t="str">
        <x:v>4176.00</x:v>
      </x:c>
      <x:c r="I33" s="129" t="str">
        <x:v>3.03</x:v>
      </x:c>
      <x:c r="J33" s="129" t="str">
        <x:v>0.00</x:v>
      </x:c>
      <x:c r="K33" s="99" t="str">
        <x:v>JACKY GOLD PR</x:v>
      </x:c>
      <x:c r="L33" s="99" t="str">
        <x:v>WIN</x:v>
      </x:c>
    </x:row>
    <x:row r="34">
      <x:c r="A34" s="99" t="str">
        <x:v>2026-06-09 23:13:53</x:v>
      </x:c>
      <x:c r="B34" s="99" t="str">
        <x:v>7274814</x:v>
      </x:c>
      <x:c r="C34" s="99" t="str">
        <x:v>XAUUSD-STD</x:v>
      </x:c>
      <x:c r="D34" s="99" t="str">
        <x:v>BUY</x:v>
      </x:c>
      <x:c r="E34" s="99" t="str">
        <x:v>CLOSED (WIN)</x:v>
      </x:c>
      <x:c r="F34" s="129" t="str">
        <x:v>4180.35</x:v>
      </x:c>
      <x:c r="G34" s="129" t="str">
        <x:v>0.00</x:v>
      </x:c>
      <x:c r="H34" s="129" t="str">
        <x:v>0.00</x:v>
      </x:c>
      <x:c r="I34" s="129" t="str">
        <x:v>5.16</x:v>
      </x:c>
      <x:c r="J34" s="129" t="str">
        <x:v>0.00</x:v>
      </x:c>
      <x:c r="K34" s="99" t="str">
        <x:v>Mobile</x:v>
      </x:c>
      <x:c r="L34" s="99" t="str">
        <x:v>WIN</x:v>
      </x:c>
    </x:row>
    <x:row r="35">
      <x:c r="A35" s="99" t="str">
        <x:v>2026-06-09 23:41:01</x:v>
      </x:c>
      <x:c r="B35" s="99" t="str">
        <x:v>7277148</x:v>
      </x:c>
      <x:c r="C35" s="99" t="str">
        <x:v>XAUUSD-STD</x:v>
      </x:c>
      <x:c r="D35" s="99" t="str">
        <x:v>BUY</x:v>
      </x:c>
      <x:c r="E35" s="99" t="str">
        <x:v>CLOSED (WIN)</x:v>
      </x:c>
      <x:c r="F35" s="129" t="str">
        <x:v>4195.92</x:v>
      </x:c>
      <x:c r="G35" s="129" t="str">
        <x:v>0.00</x:v>
      </x:c>
      <x:c r="H35" s="129" t="str">
        <x:v>0.00</x:v>
      </x:c>
      <x:c r="I35" s="129" t="str">
        <x:v>7.01</x:v>
      </x:c>
      <x:c r="J35" s="129" t="str">
        <x:v>0.00</x:v>
      </x:c>
      <x:c r="K35" s="99" t="str">
        <x:v>Mobile</x:v>
      </x:c>
      <x:c r="L35" s="99" t="str">
        <x:v>WIN</x:v>
      </x:c>
    </x:row>
    <x:row r="36">
      <x:c r="A36" s="99" t="str">
        <x:v>2026-06-09 23:49:17</x:v>
      </x:c>
      <x:c r="B36" s="99" t="str">
        <x:v>7278157</x:v>
      </x:c>
      <x:c r="C36" s="99" t="str">
        <x:v>XAUUSD-STD</x:v>
      </x:c>
      <x:c r="D36" s="99" t="str">
        <x:v>BUY</x:v>
      </x:c>
      <x:c r="E36" s="99" t="str">
        <x:v>CLOSED (WIN)</x:v>
      </x:c>
      <x:c r="F36" s="129" t="str">
        <x:v>4204.97</x:v>
      </x:c>
      <x:c r="G36" s="129" t="str">
        <x:v>0.00</x:v>
      </x:c>
      <x:c r="H36" s="129" t="str">
        <x:v>0.00</x:v>
      </x:c>
      <x:c r="I36" s="129" t="str">
        <x:v>8.11</x:v>
      </x:c>
      <x:c r="J36" s="129" t="str">
        <x:v>0.00</x:v>
      </x:c>
      <x:c r="K36" s="99" t="str">
        <x:v>Mobile</x:v>
      </x:c>
      <x:c r="L36" s="99" t="str">
        <x:v>WIN</x:v>
      </x:c>
    </x:row>
    <x:row r="37">
      <x:c r="A37" s="99" t="str">
        <x:v>2026-06-10 00:04:03</x:v>
      </x:c>
      <x:c r="B37" s="99" t="str">
        <x:v>7279084</x:v>
      </x:c>
      <x:c r="C37" s="99" t="str">
        <x:v>XAUUSD-STD</x:v>
      </x:c>
      <x:c r="D37" s="99" t="str">
        <x:v>SELL</x:v>
      </x:c>
      <x:c r="E37" s="99" t="str">
        <x:v>CLOSED (LOSS)</x:v>
      </x:c>
      <x:c r="F37" s="129" t="str">
        <x:v>4210.33</x:v>
      </x:c>
      <x:c r="G37" s="129" t="str">
        <x:v>4220.00</x:v>
      </x:c>
      <x:c r="H37" s="129" t="str">
        <x:v>4202.00</x:v>
      </x:c>
      <x:c r="I37" s="129" t="str">
        <x:v>0.00</x:v>
      </x:c>
      <x:c r="J37" s="129" t="str">
        <x:v>7.43</x:v>
      </x:c>
      <x:c r="K37" s="99" t="str">
        <x:v>|| XAUUSD Usa</x:v>
      </x:c>
      <x:c r="L37" s="99" t="str">
        <x:v>LOSS</x:v>
      </x:c>
    </x:row>
    <x:row r="38">
      <x:c r="A38" s="99" t="str">
        <x:v>2026-06-10 00:08:23</x:v>
      </x:c>
      <x:c r="B38" s="99" t="str">
        <x:v>7280522</x:v>
      </x:c>
      <x:c r="C38" s="99" t="str">
        <x:v>XAUUSD-STD</x:v>
      </x:c>
      <x:c r="D38" s="99" t="str">
        <x:v>BUY</x:v>
      </x:c>
      <x:c r="E38" s="99" t="str">
        <x:v>CLOSED (WIN)</x:v>
      </x:c>
      <x:c r="F38" s="129" t="str">
        <x:v>4221.07</x:v>
      </x:c>
      <x:c r="G38" s="129" t="str">
        <x:v>0.00</x:v>
      </x:c>
      <x:c r="H38" s="129" t="str">
        <x:v>0.00</x:v>
      </x:c>
      <x:c r="I38" s="129" t="str">
        <x:v>12.97</x:v>
      </x:c>
      <x:c r="J38" s="129" t="str">
        <x:v>0.00</x:v>
      </x:c>
      <x:c r="K38" s="99" t="str">
        <x:v>Mobile</x:v>
      </x:c>
      <x:c r="L38" s="99" t="str">
        <x:v>WIN</x:v>
      </x:c>
    </x:row>
    <x:row r="39">
      <x:c r="A39" s="99" t="str">
        <x:v>2026-06-10 01:08:39</x:v>
      </x:c>
      <x:c r="B39" s="99" t="str">
        <x:v>7283162</x:v>
      </x:c>
      <x:c r="C39" s="99" t="str">
        <x:v>XAUUSD-STD</x:v>
      </x:c>
      <x:c r="D39" s="99" t="str">
        <x:v>SELL</x:v>
      </x:c>
      <x:c r="E39" s="99" t="str">
        <x:v>CLOSED (WIN)</x:v>
      </x:c>
      <x:c r="F39" s="129" t="str">
        <x:v>4203.26</x:v>
      </x:c>
      <x:c r="G39" s="129" t="str">
        <x:v>0.00</x:v>
      </x:c>
      <x:c r="H39" s="129" t="str">
        <x:v>0.00</x:v>
      </x:c>
      <x:c r="I39" s="129" t="str">
        <x:v>0.14</x:v>
      </x:c>
      <x:c r="J39" s="129" t="str">
        <x:v>0.00</x:v>
      </x:c>
      <x:c r="K39" s="99" t="str">
        <x:v>Mobile</x:v>
      </x:c>
      <x:c r="L39" s="99" t="str">
        <x:v>WIN</x:v>
      </x:c>
    </x:row>
    <x:row r="40">
      <x:c r="A40" s="99" t="str">
        <x:v>2026-06-10 01:14:05</x:v>
      </x:c>
      <x:c r="B40" s="99" t="str">
        <x:v>7284272</x:v>
      </x:c>
      <x:c r="C40" s="99" t="str">
        <x:v>XAUUSD-STD</x:v>
      </x:c>
      <x:c r="D40" s="99" t="str">
        <x:v>SELL</x:v>
      </x:c>
      <x:c r="E40" s="99" t="str">
        <x:v>CLOSED (WIN)</x:v>
      </x:c>
      <x:c r="F40" s="129" t="str">
        <x:v>4198.79</x:v>
      </x:c>
      <x:c r="G40" s="129" t="str">
        <x:v>0.00</x:v>
      </x:c>
      <x:c r="H40" s="129" t="str">
        <x:v>0.00</x:v>
      </x:c>
      <x:c r="I40" s="129" t="str">
        <x:v>2.06</x:v>
      </x:c>
      <x:c r="J40" s="129" t="str">
        <x:v>0.00</x:v>
      </x:c>
      <x:c r="K40" s="99" t="str">
        <x:v>Mobile</x:v>
      </x:c>
      <x:c r="L40" s="99" t="str">
        <x:v>WIN</x:v>
      </x:c>
    </x:row>
    <x:row r="41">
      <x:c r="A41" s="99" t="str">
        <x:v>2026-06-10 01:16:55</x:v>
      </x:c>
      <x:c r="B41" s="99" t="str">
        <x:v>7284520</x:v>
      </x:c>
      <x:c r="C41" s="99" t="str">
        <x:v>XAUUSD-STD</x:v>
      </x:c>
      <x:c r="D41" s="99" t="str">
        <x:v>SELL</x:v>
      </x:c>
      <x:c r="E41" s="99" t="str">
        <x:v>CLOSED (WIN)</x:v>
      </x:c>
      <x:c r="F41" s="129" t="str">
        <x:v>4201.20</x:v>
      </x:c>
      <x:c r="G41" s="129" t="str">
        <x:v>0.00</x:v>
      </x:c>
      <x:c r="H41" s="129" t="str">
        <x:v>0.00</x:v>
      </x:c>
      <x:c r="I41" s="129" t="str">
        <x:v>1.35</x:v>
      </x:c>
      <x:c r="J41" s="129" t="str">
        <x:v>0.00</x:v>
      </x:c>
      <x:c r="K41" s="99" t="str">
        <x:v>Mobile</x:v>
      </x:c>
      <x:c r="L41" s="99" t="str">
        <x:v>WIN</x:v>
      </x:c>
    </x:row>
    <x:row r="42">
      <x:c r="A42" s="99" t="str">
        <x:v>2026-06-10 01:27:06</x:v>
      </x:c>
      <x:c r="B42" s="99" t="str">
        <x:v>7284624</x:v>
      </x:c>
      <x:c r="C42" s="99" t="str">
        <x:v>XAUUSD-STD</x:v>
      </x:c>
      <x:c r="D42" s="99" t="str">
        <x:v>SELL</x:v>
      </x:c>
      <x:c r="E42" s="99" t="str">
        <x:v>CLOSED (WIN)</x:v>
      </x:c>
      <x:c r="F42" s="129" t="str">
        <x:v>4195.30</x:v>
      </x:c>
      <x:c r="G42" s="129" t="str">
        <x:v>0.00</x:v>
      </x:c>
      <x:c r="H42" s="129" t="str">
        <x:v>0.00</x:v>
      </x:c>
      <x:c r="I42" s="129" t="str">
        <x:v>6.54</x:v>
      </x:c>
      <x:c r="J42" s="129" t="str">
        <x:v>0.00</x:v>
      </x:c>
      <x:c r="K42" s="99" t="str">
        <x:v>Mobile</x:v>
      </x:c>
      <x:c r="L42" s="99" t="str">
        <x:v>WIN</x:v>
      </x:c>
    </x:row>
    <x:row r="43">
      <x:c r="A43" s="99" t="str">
        <x:v>2026-06-10 01:30:16</x:v>
      </x:c>
      <x:c r="B43" s="99" t="str">
        <x:v>7285264</x:v>
      </x:c>
      <x:c r="C43" s="99" t="str">
        <x:v>XAUUSD-STD</x:v>
      </x:c>
      <x:c r="D43" s="99" t="str">
        <x:v>SELL</x:v>
      </x:c>
      <x:c r="E43" s="99" t="str">
        <x:v>CLOSED (LOSS)</x:v>
      </x:c>
      <x:c r="F43" s="129" t="str">
        <x:v>4196.11</x:v>
      </x:c>
      <x:c r="G43" s="129" t="str">
        <x:v>0.00</x:v>
      </x:c>
      <x:c r="H43" s="129" t="str">
        <x:v>0.00</x:v>
      </x:c>
      <x:c r="I43" s="129" t="str">
        <x:v>0.00</x:v>
      </x:c>
      <x:c r="J43" s="129" t="str">
        <x:v>3.44</x:v>
      </x:c>
      <x:c r="K43" s="99" t="str">
        <x:v>Mobile</x:v>
      </x:c>
      <x:c r="L43" s="99" t="str">
        <x:v>LOSS</x:v>
      </x:c>
    </x:row>
    <x:row r="44">
      <x:c r="A44" s="99" t="str">
        <x:v>2026-06-10 01:31:11</x:v>
      </x:c>
      <x:c r="B44" s="99" t="str">
        <x:v>7285416</x:v>
      </x:c>
      <x:c r="C44" s="99" t="str">
        <x:v>XAUUSD-STD</x:v>
      </x:c>
      <x:c r="D44" s="99" t="str">
        <x:v>SELL</x:v>
      </x:c>
      <x:c r="E44" s="99" t="str">
        <x:v>CLOSED (LOSS)</x:v>
      </x:c>
      <x:c r="F44" s="129" t="str">
        <x:v>4197.29</x:v>
      </x:c>
      <x:c r="G44" s="129" t="str">
        <x:v>0.00</x:v>
      </x:c>
      <x:c r="H44" s="129" t="str">
        <x:v>0.00</x:v>
      </x:c>
      <x:c r="I44" s="129" t="str">
        <x:v>0.00</x:v>
      </x:c>
      <x:c r="J44" s="129" t="str">
        <x:v>4.20</x:v>
      </x:c>
      <x:c r="K44" s="99" t="str">
        <x:v>Mobile</x:v>
      </x:c>
      <x:c r="L44" s="99" t="str">
        <x:v>LOSS</x:v>
      </x:c>
    </x:row>
    <x:row r="45">
      <x:c r="A45" s="99" t="str">
        <x:v>2026-06-10 01:44:38</x:v>
      </x:c>
      <x:c r="B45" s="99" t="str">
        <x:v>7285799</x:v>
      </x:c>
      <x:c r="C45" s="99" t="str">
        <x:v>XAUUSD-STD</x:v>
      </x:c>
      <x:c r="D45" s="99" t="str">
        <x:v>SELL</x:v>
      </x:c>
      <x:c r="E45" s="99" t="str">
        <x:v>CLOSED (WIN)</x:v>
      </x:c>
      <x:c r="F45" s="129" t="str">
        <x:v>4188.36</x:v>
      </x:c>
      <x:c r="G45" s="129" t="str">
        <x:v>0.00</x:v>
      </x:c>
      <x:c r="H45" s="129" t="str">
        <x:v>0.00</x:v>
      </x:c>
      <x:c r="I45" s="129" t="str">
        <x:v>7.00</x:v>
      </x:c>
      <x:c r="J45" s="129" t="str">
        <x:v>0.00</x:v>
      </x:c>
      <x:c r="K45" s="99" t="str">
        <x:v>Mobile</x:v>
      </x:c>
      <x:c r="L45" s="99" t="str">
        <x:v>WIN</x:v>
      </x:c>
    </x:row>
    <x:row r="46">
      <x:c r="A46" s="99" t="str">
        <x:v>2026-06-10 02:00:50</x:v>
      </x:c>
      <x:c r="B46" s="99" t="str">
        <x:v>7286505</x:v>
      </x:c>
      <x:c r="C46" s="99" t="str">
        <x:v>XAUUSD-STD</x:v>
      </x:c>
      <x:c r="D46" s="99" t="str">
        <x:v>BUY</x:v>
      </x:c>
      <x:c r="E46" s="99" t="str">
        <x:v>CLOSED (LOSS)</x:v>
      </x:c>
      <x:c r="F46" s="129" t="str">
        <x:v>4180.00</x:v>
      </x:c>
      <x:c r="G46" s="129" t="str">
        <x:v>0.00</x:v>
      </x:c>
      <x:c r="H46" s="129" t="str">
        <x:v>0.00</x:v>
      </x:c>
      <x:c r="I46" s="129" t="str">
        <x:v>0.00</x:v>
      </x:c>
      <x:c r="J46" s="129" t="str">
        <x:v>9.26</x:v>
      </x:c>
      <x:c r="K46" s="99" t="str">
        <x:v>Mobile</x:v>
      </x:c>
      <x:c r="L46" s="99" t="str">
        <x:v>LOSS</x:v>
      </x:c>
    </x:row>
    <x:row r="47">
      <x:c r="A47" s="99" t="str">
        <x:v>2026-06-10 02:03:15</x:v>
      </x:c>
      <x:c r="B47" s="99" t="str">
        <x:v>7287172</x:v>
      </x:c>
      <x:c r="C47" s="99" t="str">
        <x:v>XAUUSD-STD</x:v>
      </x:c>
      <x:c r="D47" s="99" t="str">
        <x:v>SELL</x:v>
      </x:c>
      <x:c r="E47" s="99" t="str">
        <x:v>CLOSED (WIN)</x:v>
      </x:c>
      <x:c r="F47" s="129" t="str">
        <x:v>4172.70</x:v>
      </x:c>
      <x:c r="G47" s="129" t="str">
        <x:v>0.00</x:v>
      </x:c>
      <x:c r="H47" s="129" t="str">
        <x:v>0.00</x:v>
      </x:c>
      <x:c r="I47" s="129" t="str">
        <x:v>10.54</x:v>
      </x:c>
      <x:c r="J47" s="129" t="str">
        <x:v>0.00</x:v>
      </x:c>
      <x:c r="K47" s="99" t="str">
        <x:v>Mobile</x:v>
      </x:c>
      <x:c r="L47" s="99" t="str">
        <x:v>WIN</x:v>
      </x:c>
    </x:row>
    <x:row r="48">
      <x:c r="A48" s="99" t="str">
        <x:v>2026-06-10 02:05:05</x:v>
      </x:c>
      <x:c r="B48" s="99" t="str">
        <x:v>7287633</x:v>
      </x:c>
      <x:c r="C48" s="99" t="str">
        <x:v>XAUUSD-STD</x:v>
      </x:c>
      <x:c r="D48" s="99" t="str">
        <x:v>SELL</x:v>
      </x:c>
      <x:c r="E48" s="99" t="str">
        <x:v>CLOSED (WIN)</x:v>
      </x:c>
      <x:c r="F48" s="129" t="str">
        <x:v>4165.71</x:v>
      </x:c>
      <x:c r="G48" s="129" t="str">
        <x:v>0.00</x:v>
      </x:c>
      <x:c r="H48" s="129" t="str">
        <x:v>0.00</x:v>
      </x:c>
      <x:c r="I48" s="129" t="str">
        <x:v>0.66</x:v>
      </x:c>
      <x:c r="J48" s="129" t="str">
        <x:v>0.00</x:v>
      </x:c>
      <x:c r="K48" s="99" t="str">
        <x:v>Mobile</x:v>
      </x:c>
      <x:c r="L48" s="99" t="str">
        <x:v>WIN</x:v>
      </x:c>
    </x:row>
    <x:row r="49">
      <x:c r="A49" s="99" t="str">
        <x:v>2026-06-10 02:15:06</x:v>
      </x:c>
      <x:c r="B49" s="99" t="str">
        <x:v>7288470</x:v>
      </x:c>
      <x:c r="C49" s="99" t="str">
        <x:v>XAUUSD-STD</x:v>
      </x:c>
      <x:c r="D49" s="99" t="str">
        <x:v>SELL</x:v>
      </x:c>
      <x:c r="E49" s="99" t="str">
        <x:v>CLOSED (WIN)</x:v>
      </x:c>
      <x:c r="F49" s="129" t="str">
        <x:v>4167.64</x:v>
      </x:c>
      <x:c r="G49" s="129" t="str">
        <x:v>0.00</x:v>
      </x:c>
      <x:c r="H49" s="129" t="str">
        <x:v>4154.71</x:v>
      </x:c>
      <x:c r="I49" s="129" t="str">
        <x:v>6.28</x:v>
      </x:c>
      <x:c r="J49" s="129" t="str">
        <x:v>0.00</x:v>
      </x:c>
      <x:c r="K49" s="99" t="str">
        <x:v>Mobile</x:v>
      </x:c>
      <x:c r="L49" s="99" t="str">
        <x:v>WIN</x:v>
      </x:c>
    </x:row>
    <x:row r="50">
      <x:c r="A50" s="99" t="str">
        <x:v>2026-06-10 02:16:31</x:v>
      </x:c>
      <x:c r="B50" s="99" t="str">
        <x:v>7289340</x:v>
      </x:c>
      <x:c r="C50" s="99" t="str">
        <x:v>XAUUSD-STD</x:v>
      </x:c>
      <x:c r="D50" s="99" t="str">
        <x:v>SELL</x:v>
      </x:c>
      <x:c r="E50" s="99" t="str">
        <x:v>CLOSED (LOSS)</x:v>
      </x:c>
      <x:c r="F50" s="129" t="str">
        <x:v>4176.18</x:v>
      </x:c>
      <x:c r="G50" s="129" t="str">
        <x:v>0.00</x:v>
      </x:c>
      <x:c r="H50" s="129" t="str">
        <x:v>0.00</x:v>
      </x:c>
      <x:c r="I50" s="129" t="str">
        <x:v>0.00</x:v>
      </x:c>
      <x:c r="J50" s="129" t="str">
        <x:v>6.88</x:v>
      </x:c>
      <x:c r="K50" s="99" t="str">
        <x:v>Mobile</x:v>
      </x:c>
      <x:c r="L50" s="99" t="str">
        <x:v>LOSS</x:v>
      </x:c>
    </x:row>
    <x:row r="51">
      <x:c r="A51" s="99" t="str">
        <x:v>2026-06-10 02:16:31</x:v>
      </x:c>
      <x:c r="B51" s="99" t="str">
        <x:v>7288683</x:v>
      </x:c>
      <x:c r="C51" s="99" t="str">
        <x:v>XAUUSD-STD</x:v>
      </x:c>
      <x:c r="D51" s="99" t="str">
        <x:v>SELL</x:v>
      </x:c>
      <x:c r="E51" s="99" t="str">
        <x:v>CLOSED (LOSS)</x:v>
      </x:c>
      <x:c r="F51" s="129" t="str">
        <x:v>4176.18</x:v>
      </x:c>
      <x:c r="G51" s="129" t="str">
        <x:v>0.00</x:v>
      </x:c>
      <x:c r="H51" s="129" t="str">
        <x:v>0.00</x:v>
      </x:c>
      <x:c r="I51" s="129" t="str">
        <x:v>0.00</x:v>
      </x:c>
      <x:c r="J51" s="129" t="str">
        <x:v>13.20</x:v>
      </x:c>
      <x:c r="K51" s="99" t="str">
        <x:v>Mobile</x:v>
      </x:c>
      <x:c r="L51" s="99" t="str">
        <x:v>LOSS</x:v>
      </x:c>
    </x:row>
    <x:row r="52">
      <x:c r="A52" s="99" t="str">
        <x:v>2026-06-10 02:38:23</x:v>
      </x:c>
      <x:c r="B52" s="99" t="str">
        <x:v>7289898</x:v>
      </x:c>
      <x:c r="C52" s="99" t="str">
        <x:v>XAUUSD-STD</x:v>
      </x:c>
      <x:c r="D52" s="99" t="str">
        <x:v>SELL</x:v>
      </x:c>
      <x:c r="E52" s="99" t="str">
        <x:v>CLOSED (LOSS)</x:v>
      </x:c>
      <x:c r="F52" s="129" t="str">
        <x:v>4174.64</x:v>
      </x:c>
      <x:c r="G52" s="129" t="str">
        <x:v>0.00</x:v>
      </x:c>
      <x:c r="H52" s="129" t="str">
        <x:v>0.00</x:v>
      </x:c>
      <x:c r="I52" s="129" t="str">
        <x:v>0.00</x:v>
      </x:c>
      <x:c r="J52" s="129" t="str">
        <x:v>6.65</x:v>
      </x:c>
      <x:c r="K52" s="99" t="str">
        <x:v>Mobile</x:v>
      </x:c>
      <x:c r="L52" s="99" t="str">
        <x:v>LOSS</x:v>
      </x:c>
    </x:row>
    <x:row r="53">
      <x:c r="A53" s="99" t="str">
        <x:v>2026-06-10 02:43:14</x:v>
      </x:c>
      <x:c r="B53" s="99" t="str">
        <x:v>7290257</x:v>
      </x:c>
      <x:c r="C53" s="99" t="str">
        <x:v>XAUUSD-STD</x:v>
      </x:c>
      <x:c r="D53" s="99" t="str">
        <x:v>BUY</x:v>
      </x:c>
      <x:c r="E53" s="99" t="str">
        <x:v>CLOSED (WIN)</x:v>
      </x:c>
      <x:c r="F53" s="129" t="str">
        <x:v>4175.61</x:v>
      </x:c>
      <x:c r="G53" s="129" t="str">
        <x:v>0.00</x:v>
      </x:c>
      <x:c r="H53" s="129" t="str">
        <x:v>0.00</x:v>
      </x:c>
      <x:c r="I53" s="129" t="str">
        <x:v>2.30</x:v>
      </x:c>
      <x:c r="J53" s="129" t="str">
        <x:v>0.00</x:v>
      </x:c>
      <x:c r="K53" s="99" t="str">
        <x:v>Mobile</x:v>
      </x:c>
      <x:c r="L53" s="99" t="str">
        <x:v>WIN</x:v>
      </x:c>
    </x:row>
    <x:row r="54">
      <x:c r="A54" s="99" t="str">
        <x:v>2026-06-10 02:45:34</x:v>
      </x:c>
      <x:c r="B54" s="99" t="str">
        <x:v>7290483</x:v>
      </x:c>
      <x:c r="C54" s="99" t="str">
        <x:v>XAUUSD-STD</x:v>
      </x:c>
      <x:c r="D54" s="99" t="str">
        <x:v>SELL</x:v>
      </x:c>
      <x:c r="E54" s="99" t="str">
        <x:v>CLOSED (WIN)</x:v>
      </x:c>
      <x:c r="F54" s="129" t="str">
        <x:v>4169.46</x:v>
      </x:c>
      <x:c r="G54" s="129" t="str">
        <x:v>0.00</x:v>
      </x:c>
      <x:c r="H54" s="129" t="str">
        <x:v>0.00</x:v>
      </x:c>
      <x:c r="I54" s="129" t="str">
        <x:v>7.46</x:v>
      </x:c>
      <x:c r="J54" s="129" t="str">
        <x:v>0.00</x:v>
      </x:c>
      <x:c r="K54" s="99" t="str">
        <x:v>Mobile</x:v>
      </x:c>
      <x:c r="L54" s="99" t="str">
        <x:v>WIN</x:v>
      </x:c>
    </x:row>
    <x:row r="55">
      <x:c r="A55" s="99" t="str">
        <x:v>2026-06-10 03:13:07</x:v>
      </x:c>
      <x:c r="B55" s="99" t="str">
        <x:v>7291378</x:v>
      </x:c>
      <x:c r="C55" s="99" t="str">
        <x:v>XAUUSD-STD</x:v>
      </x:c>
      <x:c r="D55" s="99" t="str">
        <x:v>SELL</x:v>
      </x:c>
      <x:c r="E55" s="99" t="str">
        <x:v>CLOSED (WIN)</x:v>
      </x:c>
      <x:c r="F55" s="129" t="str">
        <x:v>4167.00</x:v>
      </x:c>
      <x:c r="G55" s="129" t="str">
        <x:v>4180.00</x:v>
      </x:c>
      <x:c r="H55" s="129" t="str">
        <x:v>4167.00</x:v>
      </x:c>
      <x:c r="I55" s="129" t="str">
        <x:v>6.97</x:v>
      </x:c>
      <x:c r="J55" s="129" t="str">
        <x:v>0.00</x:v>
      </x:c>
      <x:c r="K55" s="99" t="str">
        <x:v>FOREX EXPERT</x:v>
      </x:c>
      <x:c r="L55" s="99" t="str">
        <x:v>WIN</x:v>
      </x:c>
    </x:row>
    <x:row r="56">
      <x:c r="A56" s="99" t="str">
        <x:v>2026-06-10 05:03:51</x:v>
      </x:c>
      <x:c r="B56" s="99" t="str">
        <x:v>7294106</x:v>
      </x:c>
      <x:c r="C56" s="99" t="str">
        <x:v>XAUUSD-STD</x:v>
      </x:c>
      <x:c r="D56" s="99" t="str">
        <x:v>SELL</x:v>
      </x:c>
      <x:c r="E56" s="99" t="str">
        <x:v>CLOSED (WIN)</x:v>
      </x:c>
      <x:c r="F56" s="129" t="str">
        <x:v>4167.24</x:v>
      </x:c>
      <x:c r="G56" s="129" t="str">
        <x:v>4185.00</x:v>
      </x:c>
      <x:c r="H56" s="129" t="str">
        <x:v>4167.00</x:v>
      </x:c>
      <x:c r="I56" s="129" t="str">
        <x:v>7.59</x:v>
      </x:c>
      <x:c r="J56" s="129" t="str">
        <x:v>0.00</x:v>
      </x:c>
      <x:c r="K56" s="99" t="str">
        <x:v>GOLD PIPS SHA</x:v>
      </x:c>
      <x:c r="L56" s="99" t="str">
        <x:v>WIN</x:v>
      </x:c>
    </x:row>
    <x:row r="57">
      <x:c r="A57" s="99" t="str">
        <x:v>2026-06-10 05:14:47</x:v>
      </x:c>
      <x:c r="B57" s="99" t="str">
        <x:v>7296032</x:v>
      </x:c>
      <x:c r="C57" s="99" t="str">
        <x:v>XAUUSD-STD</x:v>
      </x:c>
      <x:c r="D57" s="99" t="str">
        <x:v>SELL</x:v>
      </x:c>
      <x:c r="E57" s="99" t="str">
        <x:v>CLOSED (LOSS)</x:v>
      </x:c>
      <x:c r="F57" s="129" t="str">
        <x:v>4168.03</x:v>
      </x:c>
      <x:c r="G57" s="129" t="str">
        <x:v>0.00</x:v>
      </x:c>
      <x:c r="H57" s="129" t="str">
        <x:v>0.00</x:v>
      </x:c>
      <x:c r="I57" s="129" t="str">
        <x:v>0.00</x:v>
      </x:c>
      <x:c r="J57" s="129" t="str">
        <x:v>9.50</x:v>
      </x:c>
      <x:c r="K57" s="99" t="str">
        <x:v>Mobile</x:v>
      </x:c>
      <x:c r="L57" s="99" t="str">
        <x:v>LOSS</x:v>
      </x:c>
    </x:row>
    <x:row r="58">
      <x:c r="A58" s="99" t="str">
        <x:v>2026-06-10 05:55:11</x:v>
      </x:c>
      <x:c r="B58" s="99" t="str">
        <x:v>7296873</x:v>
      </x:c>
      <x:c r="C58" s="99" t="str">
        <x:v>XAUUSD-STD</x:v>
      </x:c>
      <x:c r="D58" s="99" t="str">
        <x:v>SELL</x:v>
      </x:c>
      <x:c r="E58" s="99" t="str">
        <x:v>CLOSED (WIN)</x:v>
      </x:c>
      <x:c r="F58" s="129" t="str">
        <x:v>4155.08</x:v>
      </x:c>
      <x:c r="G58" s="129" t="str">
        <x:v>0.00</x:v>
      </x:c>
      <x:c r="H58" s="129" t="str">
        <x:v>0.00</x:v>
      </x:c>
      <x:c r="I58" s="129" t="str">
        <x:v>6.03</x:v>
      </x:c>
      <x:c r="J58" s="129" t="str">
        <x:v>0.00</x:v>
      </x:c>
      <x:c r="K58" s="99" t="str">
        <x:v>Mobile</x:v>
      </x:c>
      <x:c r="L58" s="99" t="str">
        <x:v>WIN</x:v>
      </x:c>
    </x:row>
    <x:row r="59">
      <x:c r="A59" s="99" t="str">
        <x:v>2026-06-10 06:01:56</x:v>
      </x:c>
      <x:c r="B59" s="99" t="str">
        <x:v>7298830</x:v>
      </x:c>
      <x:c r="C59" s="99" t="str">
        <x:v>XAUUSD-STD</x:v>
      </x:c>
      <x:c r="D59" s="99" t="str">
        <x:v>SELL</x:v>
      </x:c>
      <x:c r="E59" s="99" t="str">
        <x:v>CLOSED (WIN)</x:v>
      </x:c>
      <x:c r="F59" s="129" t="str">
        <x:v>4147.31</x:v>
      </x:c>
      <x:c r="G59" s="129" t="str">
        <x:v>0.00</x:v>
      </x:c>
      <x:c r="H59" s="129" t="str">
        <x:v>0.00</x:v>
      </x:c>
      <x:c r="I59" s="129" t="str">
        <x:v>5.00</x:v>
      </x:c>
      <x:c r="J59" s="129" t="str">
        <x:v>0.00</x:v>
      </x:c>
      <x:c r="K59" s="99" t="str">
        <x:v>Mobile</x:v>
      </x:c>
      <x:c r="L59" s="99" t="str">
        <x:v>WIN</x:v>
      </x:c>
    </x:row>
    <x:row r="60">
      <x:c r="A60" s="99" t="str">
        <x:v>2026-06-10 06:11:02</x:v>
      </x:c>
      <x:c r="B60" s="99" t="str">
        <x:v>7299544</x:v>
      </x:c>
      <x:c r="C60" s="99" t="str">
        <x:v>XAUUSD-STD</x:v>
      </x:c>
      <x:c r="D60" s="99" t="str">
        <x:v>SELL</x:v>
      </x:c>
      <x:c r="E60" s="99" t="str">
        <x:v>CLOSED (WIN)</x:v>
      </x:c>
      <x:c r="F60" s="129" t="str">
        <x:v>4140.37</x:v>
      </x:c>
      <x:c r="G60" s="129" t="str">
        <x:v>0.00</x:v>
      </x:c>
      <x:c r="H60" s="129" t="str">
        <x:v>0.00</x:v>
      </x:c>
      <x:c r="I60" s="129" t="str">
        <x:v>8.93</x:v>
      </x:c>
      <x:c r="J60" s="129" t="str">
        <x:v>0.00</x:v>
      </x:c>
      <x:c r="K60" s="99" t="str">
        <x:v>Mobile</x:v>
      </x:c>
      <x:c r="L60" s="99" t="str">
        <x:v>WIN</x:v>
      </x:c>
    </x:row>
    <x:row r="61">
      <x:c r="A61" s="99" t="str">
        <x:v>2026-06-10 06:16:38</x:v>
      </x:c>
      <x:c r="B61" s="99" t="str">
        <x:v>7300206</x:v>
      </x:c>
      <x:c r="C61" s="99" t="str">
        <x:v>XAUUSD-STD</x:v>
      </x:c>
      <x:c r="D61" s="99" t="str">
        <x:v>SELL</x:v>
      </x:c>
      <x:c r="E61" s="99" t="str">
        <x:v>CLOSED (LOSS)</x:v>
      </x:c>
      <x:c r="F61" s="129" t="str">
        <x:v>4140.13</x:v>
      </x:c>
      <x:c r="G61" s="129" t="str">
        <x:v>0.00</x:v>
      </x:c>
      <x:c r="H61" s="129" t="str">
        <x:v>0.00</x:v>
      </x:c>
      <x:c r="I61" s="129" t="str">
        <x:v>0.00</x:v>
      </x:c>
      <x:c r="J61" s="129" t="str">
        <x:v>4.38</x:v>
      </x:c>
      <x:c r="K61" s="99" t="str">
        <x:v>Mobile</x:v>
      </x:c>
      <x:c r="L61" s="99" t="str">
        <x:v>LOSS</x:v>
      </x:c>
    </x:row>
    <x:row r="62">
      <x:c r="A62" s="99" t="str">
        <x:v>2026-06-10 06:30:24</x:v>
      </x:c>
      <x:c r="B62" s="99" t="str">
        <x:v>7300752</x:v>
      </x:c>
      <x:c r="C62" s="99" t="str">
        <x:v>XAUUSD-STD</x:v>
      </x:c>
      <x:c r="D62" s="99" t="str">
        <x:v>SELL</x:v>
      </x:c>
      <x:c r="E62" s="99" t="str">
        <x:v>CLOSED (LOSS)</x:v>
      </x:c>
      <x:c r="F62" s="129" t="str">
        <x:v>4163.67</x:v>
      </x:c>
      <x:c r="G62" s="129" t="str">
        <x:v>0.00</x:v>
      </x:c>
      <x:c r="H62" s="129" t="str">
        <x:v>0.00</x:v>
      </x:c>
      <x:c r="I62" s="129" t="str">
        <x:v>0.00</x:v>
      </x:c>
      <x:c r="J62" s="129" t="str">
        <x:v>40.67</x:v>
      </x:c>
      <x:c r="K62" s="99" t="str">
        <x:v>Mobile</x:v>
      </x:c>
      <x:c r="L62" s="99" t="str">
        <x:v>LOSS</x:v>
      </x:c>
    </x:row>
    <x:row r="63">
      <x:c r="A63" s="99" t="str">
        <x:v>2026-06-10 06:30:59</x:v>
      </x:c>
      <x:c r="B63" s="99" t="str">
        <x:v>7302248</x:v>
      </x:c>
      <x:c r="C63" s="99" t="str">
        <x:v>XAUUSD-STD</x:v>
      </x:c>
      <x:c r="D63" s="99" t="str">
        <x:v>BUY</x:v>
      </x:c>
      <x:c r="E63" s="99" t="str">
        <x:v>CLOSED (WIN)</x:v>
      </x:c>
      <x:c r="F63" s="129" t="str">
        <x:v>4172.19</x:v>
      </x:c>
      <x:c r="G63" s="129" t="str">
        <x:v>0.00</x:v>
      </x:c>
      <x:c r="H63" s="129" t="str">
        <x:v>0.00</x:v>
      </x:c>
      <x:c r="I63" s="129" t="str">
        <x:v>7.33</x:v>
      </x:c>
      <x:c r="J63" s="129" t="str">
        <x:v>0.00</x:v>
      </x:c>
      <x:c r="K63" s="99" t="str">
        <x:v>Mobile</x:v>
      </x:c>
      <x:c r="L63" s="99" t="str">
        <x:v>WIN</x:v>
      </x:c>
    </x:row>
    <x:row r="64">
      <x:c r="A64" s="99" t="str">
        <x:v>2026-06-10 06:56:17</x:v>
      </x:c>
      <x:c r="B64" s="99" t="str">
        <x:v>7307490</x:v>
      </x:c>
      <x:c r="C64" s="99" t="str">
        <x:v>XAUUSD-STD</x:v>
      </x:c>
      <x:c r="D64" s="99" t="str">
        <x:v>BUY</x:v>
      </x:c>
      <x:c r="E64" s="99" t="str">
        <x:v>CLOSED (LOSS)</x:v>
      </x:c>
      <x:c r="F64" s="129" t="str">
        <x:v>4147.76</x:v>
      </x:c>
      <x:c r="G64" s="129" t="str">
        <x:v>0.00</x:v>
      </x:c>
      <x:c r="H64" s="129" t="str">
        <x:v>0.00</x:v>
      </x:c>
      <x:c r="I64" s="129" t="str">
        <x:v>0.00</x:v>
      </x:c>
      <x:c r="J64" s="129" t="str">
        <x:v>6.48</x:v>
      </x:c>
      <x:c r="K64" s="99" t="str">
        <x:v>Mobile</x:v>
      </x:c>
      <x:c r="L64" s="99" t="str">
        <x:v>LOSS</x:v>
      </x:c>
    </x:row>
    <x:row r="65">
      <x:c r="A65" s="99" t="str">
        <x:v>2026-06-10 06:59:37</x:v>
      </x:c>
      <x:c r="B65" s="99" t="str">
        <x:v>7307806</x:v>
      </x:c>
      <x:c r="C65" s="99" t="str">
        <x:v>XAUUSD-STD</x:v>
      </x:c>
      <x:c r="D65" s="99" t="str">
        <x:v>SELL</x:v>
      </x:c>
      <x:c r="E65" s="99" t="str">
        <x:v>CLOSED (LOSS)</x:v>
      </x:c>
      <x:c r="F65" s="129" t="str">
        <x:v>4147.35</x:v>
      </x:c>
      <x:c r="G65" s="129" t="str">
        <x:v>0.00</x:v>
      </x:c>
      <x:c r="H65" s="129" t="str">
        <x:v>0.00</x:v>
      </x:c>
      <x:c r="I65" s="129" t="str">
        <x:v>0.00</x:v>
      </x:c>
      <x:c r="J65" s="129" t="str">
        <x:v>2.82</x:v>
      </x:c>
      <x:c r="K65" s="99" t="str">
        <x:v>Mobile</x:v>
      </x:c>
      <x:c r="L65" s="99" t="str">
        <x:v>LOSS</x:v>
      </x:c>
    </x:row>
    <x:row r="66">
      <x:c r="A66" s="99" t="str">
        <x:v>2026-06-10 07:03:28</x:v>
      </x:c>
      <x:c r="B66" s="99" t="str">
        <x:v>7308055</x:v>
      </x:c>
      <x:c r="C66" s="99" t="str">
        <x:v>XAUUSD-STD</x:v>
      </x:c>
      <x:c r="D66" s="99" t="str">
        <x:v>SELL</x:v>
      </x:c>
      <x:c r="E66" s="99" t="str">
        <x:v>CLOSED (WIN)</x:v>
      </x:c>
      <x:c r="F66" s="129" t="str">
        <x:v>4150.68</x:v>
      </x:c>
      <x:c r="G66" s="129" t="str">
        <x:v>4165.00</x:v>
      </x:c>
      <x:c r="H66" s="129" t="str">
        <x:v>4151.00</x:v>
      </x:c>
      <x:c r="I66" s="129" t="str">
        <x:v>5.32</x:v>
      </x:c>
      <x:c r="J66" s="129" t="str">
        <x:v>0.00</x:v>
      </x:c>
      <x:c r="K66" s="99" t="str">
        <x:v>BEST XAU/USD</x:v>
      </x:c>
      <x:c r="L66" s="99" t="str">
        <x:v>WIN</x:v>
      </x:c>
    </x:row>
    <x:row r="67">
      <x:c r="A67" s="99" t="str">
        <x:v>2026-06-10 07:35:46</x:v>
      </x:c>
      <x:c r="B67" s="99" t="str">
        <x:v>7309047</x:v>
      </x:c>
      <x:c r="C67" s="99" t="str">
        <x:v>XAUUSD-STD</x:v>
      </x:c>
      <x:c r="D67" s="99" t="str">
        <x:v>BUY</x:v>
      </x:c>
      <x:c r="E67" s="99" t="str">
        <x:v>CLOSED (WIN)</x:v>
      </x:c>
      <x:c r="F67" s="129" t="str">
        <x:v>4154.00</x:v>
      </x:c>
      <x:c r="G67" s="129" t="str">
        <x:v>4132.00</x:v>
      </x:c>
      <x:c r="H67" s="129" t="str">
        <x:v>4154.00</x:v>
      </x:c>
      <x:c r="I67" s="129" t="str">
        <x:v>9.11</x:v>
      </x:c>
      <x:c r="J67" s="129" t="str">
        <x:v>0.00</x:v>
      </x:c>
      <x:c r="K67" s="99" t="str">
        <x:v>GOLD SCALPER</x:v>
      </x:c>
      <x:c r="L67" s="99" t="str">
        <x:v>WIN</x:v>
      </x:c>
    </x:row>
    <x:row r="68">
      <x:c r="A68" s="99" t="str">
        <x:v>2026-06-10 09:21:41</x:v>
      </x:c>
      <x:c r="B68" s="99" t="str">
        <x:v>7335691</x:v>
      </x:c>
      <x:c r="C68" s="99" t="str">
        <x:v>XAUUSD-STD</x:v>
      </x:c>
      <x:c r="D68" s="99" t="str">
        <x:v>BUY</x:v>
      </x:c>
      <x:c r="E68" s="99" t="str">
        <x:v>CLOSED (WIN)</x:v>
      </x:c>
      <x:c r="F68" s="129" t="str">
        <x:v>4125.00</x:v>
      </x:c>
      <x:c r="G68" s="129" t="str">
        <x:v>4112.00</x:v>
      </x:c>
      <x:c r="H68" s="129" t="str">
        <x:v>4125.00</x:v>
      </x:c>
      <x:c r="I68" s="129" t="str">
        <x:v>4.53</x:v>
      </x:c>
      <x:c r="J68" s="129" t="str">
        <x:v>0.00</x:v>
      </x:c>
      <x:c r="K68" s="99" t="str">
        <x:v>XAUUSD/TRADIN</x:v>
      </x:c>
      <x:c r="L68" s="99" t="str">
        <x:v>WIN</x:v>
      </x:c>
    </x:row>
    <x:row r="69">
      <x:c r="A69" s="99" t="str">
        <x:v>2026-06-10 13:46:42</x:v>
      </x:c>
      <x:c r="B69" s="99" t="str">
        <x:v>7362866</x:v>
      </x:c>
      <x:c r="C69" s="99" t="str">
        <x:v>XAUUSD-STD</x:v>
      </x:c>
      <x:c r="D69" s="99" t="str">
        <x:v>SELL</x:v>
      </x:c>
      <x:c r="E69" s="99" t="str">
        <x:v>CLOSED (WIN)</x:v>
      </x:c>
      <x:c r="F69" s="129" t="str">
        <x:v>4089.00</x:v>
      </x:c>
      <x:c r="G69" s="129" t="str">
        <x:v>4103.00</x:v>
      </x:c>
      <x:c r="H69" s="129" t="str">
        <x:v>4089.00</x:v>
      </x:c>
      <x:c r="I69" s="129" t="str">
        <x:v>4.18</x:v>
      </x:c>
      <x:c r="J69" s="129" t="str">
        <x:v>0.00</x:v>
      </x:c>
      <x:c r="K69" s="99" t="str">
        <x:v>BEST XAU/USD</x:v>
      </x:c>
      <x:c r="L69" s="99" t="str">
        <x:v>WIN</x:v>
      </x:c>
    </x:row>
    <x:row r="70">
      <x:c r="A70" s="99" t="str">
        <x:v>2026-06-10 16:41:10</x:v>
      </x:c>
      <x:c r="B70" s="99" t="str">
        <x:v>7376380</x:v>
      </x:c>
      <x:c r="C70" s="99" t="str">
        <x:v>XAUUSD-STD</x:v>
      </x:c>
      <x:c r="D70" s="99" t="str">
        <x:v>SELL</x:v>
      </x:c>
      <x:c r="E70" s="99" t="str">
        <x:v>CLOSED (LOSS)</x:v>
      </x:c>
      <x:c r="F70" s="129" t="str">
        <x:v>4065.63</x:v>
      </x:c>
      <x:c r="G70" s="129" t="str">
        <x:v>0.00</x:v>
      </x:c>
      <x:c r="H70" s="129" t="str">
        <x:v>0.00</x:v>
      </x:c>
      <x:c r="I70" s="129" t="str">
        <x:v>0.00</x:v>
      </x:c>
      <x:c r="J70" s="129" t="str">
        <x:v>4.59</x:v>
      </x:c>
      <x:c r="K70" s="99" t="str">
        <x:v>Mobile</x:v>
      </x:c>
      <x:c r="L70" s="99" t="str">
        <x:v>LOSS</x:v>
      </x:c>
    </x:row>
    <x:row r="71">
      <x:c r="A71" s="99" t="str">
        <x:v>2026-06-10 16:44:45</x:v>
      </x:c>
      <x:c r="B71" s="99" t="str">
        <x:v>7377042</x:v>
      </x:c>
      <x:c r="C71" s="99" t="str">
        <x:v>XAUUSD-STD</x:v>
      </x:c>
      <x:c r="D71" s="99" t="str">
        <x:v>SELL</x:v>
      </x:c>
      <x:c r="E71" s="99" t="str">
        <x:v>CLOSED (WIN)</x:v>
      </x:c>
      <x:c r="F71" s="129" t="str">
        <x:v>4062.13</x:v>
      </x:c>
      <x:c r="G71" s="129" t="str">
        <x:v>0.00</x:v>
      </x:c>
      <x:c r="H71" s="129" t="str">
        <x:v>0.00</x:v>
      </x:c>
      <x:c r="I71" s="129" t="str">
        <x:v>4.91</x:v>
      </x:c>
      <x:c r="J71" s="129" t="str">
        <x:v>0.00</x:v>
      </x:c>
      <x:c r="K71" s="99" t="str">
        <x:v>Mobile</x:v>
      </x:c>
      <x:c r="L71" s="99" t="str">
        <x:v>WIN</x:v>
      </x:c>
    </x:row>
    <x:row r="72">
      <x:c r="A72" s="99" t="str">
        <x:v>2026-06-10 18:28:00</x:v>
      </x:c>
      <x:c r="B72" s="99" t="str">
        <x:v>7390477</x:v>
      </x:c>
      <x:c r="C72" s="99" t="str">
        <x:v>XAUUSD-STD</x:v>
      </x:c>
      <x:c r="D72" s="99" t="str">
        <x:v>BUY</x:v>
      </x:c>
      <x:c r="E72" s="99" t="str">
        <x:v>CLOSED (WIN)</x:v>
      </x:c>
      <x:c r="F72" s="129" t="str">
        <x:v>4065.87</x:v>
      </x:c>
      <x:c r="G72" s="129" t="str">
        <x:v>4056.00</x:v>
      </x:c>
      <x:c r="H72" s="129" t="str">
        <x:v>4079.00</x:v>
      </x:c>
      <x:c r="I72" s="129" t="str">
        <x:v>2.87</x:v>
      </x:c>
      <x:c r="J72" s="129" t="str">
        <x:v>0.00</x:v>
      </x:c>
      <x:c r="K72" s="99" t="str">
        <x:v>Mobile</x:v>
      </x:c>
      <x:c r="L72" s="99" t="str">
        <x:v>WIN</x:v>
      </x:c>
    </x:row>
    <x:row r="73">
      <x:c r="A73" s="99" t="str">
        <x:v>2026-06-10 18:43:27</x:v>
      </x:c>
      <x:c r="B73" s="99" t="str">
        <x:v>7391135</x:v>
      </x:c>
      <x:c r="C73" s="99" t="str">
        <x:v>XAUUSD-STD</x:v>
      </x:c>
      <x:c r="D73" s="99" t="str">
        <x:v>BUY</x:v>
      </x:c>
      <x:c r="E73" s="99" t="str">
        <x:v>CLOSED (WIN)</x:v>
      </x:c>
      <x:c r="F73" s="129" t="str">
        <x:v>4066.09</x:v>
      </x:c>
      <x:c r="G73" s="129" t="str">
        <x:v>4056.00</x:v>
      </x:c>
      <x:c r="H73" s="129" t="str">
        <x:v>4080.00</x:v>
      </x:c>
      <x:c r="I73" s="129" t="str">
        <x:v>5.40</x:v>
      </x:c>
      <x:c r="J73" s="129" t="str">
        <x:v>0.00</x:v>
      </x:c>
      <x:c r="K73" s="99" t="str">
        <x:v>Mobile</x:v>
      </x:c>
      <x:c r="L73" s="99" t="str">
        <x:v>WIN</x:v>
      </x:c>
    </x:row>
    <x:row r="74">
      <x:c r="A74" s="99" t="str">
        <x:v>2026-06-10 19:16:05</x:v>
      </x:c>
      <x:c r="B74" s="99" t="str">
        <x:v>7396886</x:v>
      </x:c>
      <x:c r="C74" s="99" t="str">
        <x:v>XAUUSD-STD</x:v>
      </x:c>
      <x:c r="D74" s="99" t="str">
        <x:v>BUY</x:v>
      </x:c>
      <x:c r="E74" s="99" t="str">
        <x:v>CLOSED (WIN)</x:v>
      </x:c>
      <x:c r="F74" s="129" t="str">
        <x:v>4089.35</x:v>
      </x:c>
      <x:c r="G74" s="129" t="str">
        <x:v>0.00</x:v>
      </x:c>
      <x:c r="H74" s="129" t="str">
        <x:v>0.00</x:v>
      </x:c>
      <x:c r="I74" s="129" t="str">
        <x:v>7.32</x:v>
      </x:c>
      <x:c r="J74" s="129" t="str">
        <x:v>0.00</x:v>
      </x:c>
      <x:c r="K74" s="99" t="str">
        <x:v>Mobile</x:v>
      </x:c>
      <x:c r="L74" s="99" t="str">
        <x:v>WIN</x:v>
      </x:c>
    </x:row>
    <x:row r="75">
      <x:c r="A75" s="99" t="str">
        <x:v>2026-06-10 19:16:55</x:v>
      </x:c>
      <x:c r="B75" s="99" t="str">
        <x:v>7397248</x:v>
      </x:c>
      <x:c r="C75" s="99" t="str">
        <x:v>XAUUSD-STD</x:v>
      </x:c>
      <x:c r="D75" s="99" t="str">
        <x:v>BUY</x:v>
      </x:c>
      <x:c r="E75" s="99" t="str">
        <x:v>CLOSED (WIN)</x:v>
      </x:c>
      <x:c r="F75" s="129" t="str">
        <x:v>4099.27</x:v>
      </x:c>
      <x:c r="G75" s="129" t="str">
        <x:v>0.00</x:v>
      </x:c>
      <x:c r="H75" s="129" t="str">
        <x:v>0.00</x:v>
      </x:c>
      <x:c r="I75" s="129" t="str">
        <x:v>12.08</x:v>
      </x:c>
      <x:c r="J75" s="129" t="str">
        <x:v>0.00</x:v>
      </x:c>
      <x:c r="K75" s="99" t="str">
        <x:v>Mobile</x:v>
      </x:c>
      <x:c r="L75" s="99" t="str">
        <x:v>WIN</x:v>
      </x:c>
    </x:row>
    <x:row r="76">
      <x:c r="A76" s="99" t="str">
        <x:v>2026-06-10 19:26:46</x:v>
      </x:c>
      <x:c r="B76" s="99" t="str">
        <x:v>7398927</x:v>
      </x:c>
      <x:c r="C76" s="99" t="str">
        <x:v>XAUUSD-STD</x:v>
      </x:c>
      <x:c r="D76" s="99" t="str">
        <x:v>BUY</x:v>
      </x:c>
      <x:c r="E76" s="99" t="str">
        <x:v>CLOSED (WIN)</x:v>
      </x:c>
      <x:c r="F76" s="129" t="str">
        <x:v>4106.50</x:v>
      </x:c>
      <x:c r="G76" s="129" t="str">
        <x:v>0.00</x:v>
      </x:c>
      <x:c r="H76" s="129" t="str">
        <x:v>0.00</x:v>
      </x:c>
      <x:c r="I76" s="129" t="str">
        <x:v>0.63</x:v>
      </x:c>
      <x:c r="J76" s="129" t="str">
        <x:v>0.00</x:v>
      </x:c>
      <x:c r="K76" s="99" t="str">
        <x:v>Mobile</x:v>
      </x:c>
      <x:c r="L76" s="99" t="str">
        <x:v>WIN</x:v>
      </x:c>
    </x:row>
    <x:row r="77">
      <x:c r="A77" s="99" t="str">
        <x:v>2026-06-10 19:34:37</x:v>
      </x:c>
      <x:c r="B77" s="99" t="str">
        <x:v>7399855</x:v>
      </x:c>
      <x:c r="C77" s="99" t="str">
        <x:v>XAUUSD-STD</x:v>
      </x:c>
      <x:c r="D77" s="99" t="str">
        <x:v>BUY</x:v>
      </x:c>
      <x:c r="E77" s="99" t="str">
        <x:v>CLOSED (WIN)</x:v>
      </x:c>
      <x:c r="F77" s="129" t="str">
        <x:v>4108.28</x:v>
      </x:c>
      <x:c r="G77" s="129" t="str">
        <x:v>0.00</x:v>
      </x:c>
      <x:c r="H77" s="129" t="str">
        <x:v>0.00</x:v>
      </x:c>
      <x:c r="I77" s="129" t="str">
        <x:v>1.45</x:v>
      </x:c>
      <x:c r="J77" s="129" t="str">
        <x:v>0.00</x:v>
      </x:c>
      <x:c r="K77" s="99" t="str">
        <x:v>Mobile</x:v>
      </x:c>
      <x:c r="L77" s="99" t="str">
        <x:v>WIN</x:v>
      </x:c>
    </x:row>
    <x:row r="78">
      <x:c r="A78" s="99" t="str">
        <x:v>2026-06-10 19:38:02</x:v>
      </x:c>
      <x:c r="B78" s="99" t="str">
        <x:v>7400487</x:v>
      </x:c>
      <x:c r="C78" s="99" t="str">
        <x:v>XAUUSD-STD</x:v>
      </x:c>
      <x:c r="D78" s="99" t="str">
        <x:v>BUY</x:v>
      </x:c>
      <x:c r="E78" s="99" t="str">
        <x:v>CLOSED (LOSS)</x:v>
      </x:c>
      <x:c r="F78" s="129" t="str">
        <x:v>4110.25</x:v>
      </x:c>
      <x:c r="G78" s="129" t="str">
        <x:v>0.00</x:v>
      </x:c>
      <x:c r="H78" s="129" t="str">
        <x:v>0.00</x:v>
      </x:c>
      <x:c r="I78" s="129" t="str">
        <x:v>0.00</x:v>
      </x:c>
      <x:c r="J78" s="129" t="str">
        <x:v>3.43</x:v>
      </x:c>
      <x:c r="K78" s="99" t="str">
        <x:v>Mobile</x:v>
      </x:c>
      <x:c r="L78" s="99" t="str">
        <x:v>LOSS</x:v>
      </x:c>
    </x:row>
    <x:row r="79">
      <x:c r="A79" s="99" t="str">
        <x:v>2026-06-10 19:42:22</x:v>
      </x:c>
      <x:c r="B79" s="99" t="str">
        <x:v>7400941</x:v>
      </x:c>
      <x:c r="C79" s="99" t="str">
        <x:v>XAUUSD-STD</x:v>
      </x:c>
      <x:c r="D79" s="99" t="str">
        <x:v>BUY</x:v>
      </x:c>
      <x:c r="E79" s="99" t="str">
        <x:v>CLOSED (WIN)</x:v>
      </x:c>
      <x:c r="F79" s="129" t="str">
        <x:v>4115.42</x:v>
      </x:c>
      <x:c r="G79" s="129" t="str">
        <x:v>0.00</x:v>
      </x:c>
      <x:c r="H79" s="129" t="str">
        <x:v>0.00</x:v>
      </x:c>
      <x:c r="I79" s="129" t="str">
        <x:v>1.45</x:v>
      </x:c>
      <x:c r="J79" s="129" t="str">
        <x:v>0.00</x:v>
      </x:c>
      <x:c r="K79" s="99" t="str">
        <x:v>Mobile</x:v>
      </x:c>
      <x:c r="L79" s="99" t="str">
        <x:v>WIN</x:v>
      </x:c>
    </x:row>
    <x:row r="80">
      <x:c r="A80" s="99" t="str">
        <x:v>2026-06-10 19:46:13</x:v>
      </x:c>
      <x:c r="B80" s="99" t="str">
        <x:v>7401795</x:v>
      </x:c>
      <x:c r="C80" s="99" t="str">
        <x:v>XAUUSD-STD</x:v>
      </x:c>
      <x:c r="D80" s="99" t="str">
        <x:v>SELL</x:v>
      </x:c>
      <x:c r="E80" s="99" t="str">
        <x:v>CLOSED (WIN)</x:v>
      </x:c>
      <x:c r="F80" s="129" t="str">
        <x:v>4109.33</x:v>
      </x:c>
      <x:c r="G80" s="129" t="str">
        <x:v>0.00</x:v>
      </x:c>
      <x:c r="H80" s="129" t="str">
        <x:v>0.00</x:v>
      </x:c>
      <x:c r="I80" s="129" t="str">
        <x:v>6.12</x:v>
      </x:c>
      <x:c r="J80" s="129" t="str">
        <x:v>0.00</x:v>
      </x:c>
      <x:c r="K80" s="99" t="str">
        <x:v>Mobile</x:v>
      </x:c>
      <x:c r="L80" s="99" t="str">
        <x:v>WIN</x:v>
      </x:c>
    </x:row>
    <x:row r="81">
      <x:c r="A81" s="99" t="str">
        <x:v>2026-06-10 20:29:01</x:v>
      </x:c>
      <x:c r="B81" s="99" t="str">
        <x:v>7407088</x:v>
      </x:c>
      <x:c r="C81" s="99" t="str">
        <x:v>XAUUSD-STD</x:v>
      </x:c>
      <x:c r="D81" s="99" t="str">
        <x:v>SELL</x:v>
      </x:c>
      <x:c r="E81" s="99" t="str">
        <x:v>CLOSED (WIN)</x:v>
      </x:c>
      <x:c r="F81" s="129" t="str">
        <x:v>4084.85</x:v>
      </x:c>
      <x:c r="G81" s="129" t="str">
        <x:v>0.00</x:v>
      </x:c>
      <x:c r="H81" s="129" t="str">
        <x:v>0.00</x:v>
      </x:c>
      <x:c r="I81" s="129" t="str">
        <x:v>4.63</x:v>
      </x:c>
      <x:c r="J81" s="129" t="str">
        <x:v>0.00</x:v>
      </x:c>
      <x:c r="K81" s="99" t="str">
        <x:v>Mobile</x:v>
      </x:c>
      <x:c r="L81" s="99" t="str">
        <x:v>WIN</x:v>
      </x:c>
    </x:row>
    <x:row r="82">
      <x:c r="A82" s="99" t="str">
        <x:v>2026-06-10 20:29:01</x:v>
      </x:c>
      <x:c r="B82" s="99" t="str">
        <x:v>7407242</x:v>
      </x:c>
      <x:c r="C82" s="99" t="str">
        <x:v>XAUUSD-STD</x:v>
      </x:c>
      <x:c r="D82" s="99" t="str">
        <x:v>SELL</x:v>
      </x:c>
      <x:c r="E82" s="99" t="str">
        <x:v>CLOSED (WIN)</x:v>
      </x:c>
      <x:c r="F82" s="129" t="str">
        <x:v>4084.85</x:v>
      </x:c>
      <x:c r="G82" s="129" t="str">
        <x:v>0.00</x:v>
      </x:c>
      <x:c r="H82" s="129" t="str">
        <x:v>0.00</x:v>
      </x:c>
      <x:c r="I82" s="129" t="str">
        <x:v>0.88</x:v>
      </x:c>
      <x:c r="J82" s="129" t="str">
        <x:v>0.00</x:v>
      </x:c>
      <x:c r="K82" s="99" t="str">
        <x:v>Mobile</x:v>
      </x:c>
      <x:c r="L82" s="99" t="str">
        <x:v>WIN</x:v>
      </x:c>
    </x:row>
    <x:row r="83">
      <x:c r="A83" s="99" t="str">
        <x:v>2026-06-10 20:30:56</x:v>
      </x:c>
      <x:c r="B83" s="99" t="str">
        <x:v>7407591</x:v>
      </x:c>
      <x:c r="C83" s="99" t="str">
        <x:v>XAUUSD-STD</x:v>
      </x:c>
      <x:c r="D83" s="99" t="str">
        <x:v>SELL</x:v>
      </x:c>
      <x:c r="E83" s="99" t="str">
        <x:v>CLOSED (WIN)</x:v>
      </x:c>
      <x:c r="F83" s="129" t="str">
        <x:v>4082.40</x:v>
      </x:c>
      <x:c r="G83" s="129" t="str">
        <x:v>0.00</x:v>
      </x:c>
      <x:c r="H83" s="129" t="str">
        <x:v>0.00</x:v>
      </x:c>
      <x:c r="I83" s="129" t="str">
        <x:v>1.80</x:v>
      </x:c>
      <x:c r="J83" s="129" t="str">
        <x:v>0.00</x:v>
      </x:c>
      <x:c r="K83" s="99" t="str">
        <x:v>Mobile</x:v>
      </x:c>
      <x:c r="L83" s="99" t="str">
        <x:v>WIN</x:v>
      </x:c>
    </x:row>
    <x:row r="84">
      <x:c r="A84" s="99" t="str">
        <x:v>2026-06-10 20:31:46</x:v>
      </x:c>
      <x:c r="B84" s="99" t="str">
        <x:v>7407937</x:v>
      </x:c>
      <x:c r="C84" s="99" t="str">
        <x:v>XAUUSD-STD</x:v>
      </x:c>
      <x:c r="D84" s="99" t="str">
        <x:v>SELL</x:v>
      </x:c>
      <x:c r="E84" s="99" t="str">
        <x:v>CLOSED (WIN)</x:v>
      </x:c>
      <x:c r="F84" s="129" t="str">
        <x:v>4072.72</x:v>
      </x:c>
      <x:c r="G84" s="129" t="str">
        <x:v>0.00</x:v>
      </x:c>
      <x:c r="H84" s="129" t="str">
        <x:v>0.00</x:v>
      </x:c>
      <x:c r="I84" s="129" t="str">
        <x:v>10.50</x:v>
      </x:c>
      <x:c r="J84" s="129" t="str">
        <x:v>0.00</x:v>
      </x:c>
      <x:c r="K84" s="99" t="str">
        <x:v>Mobile</x:v>
      </x:c>
      <x:c r="L84" s="99" t="str">
        <x:v>WIN</x:v>
      </x:c>
    </x:row>
    <x:row r="85">
      <x:c r="A85" s="99" t="str">
        <x:v>2026-06-10 20:46:43</x:v>
      </x:c>
      <x:c r="B85" s="99" t="str">
        <x:v>7410834</x:v>
      </x:c>
      <x:c r="C85" s="99" t="str">
        <x:v>XAUUSD-STD</x:v>
      </x:c>
      <x:c r="D85" s="99" t="str">
        <x:v>SELL</x:v>
      </x:c>
      <x:c r="E85" s="99" t="str">
        <x:v>CLOSED (WIN)</x:v>
      </x:c>
      <x:c r="F85" s="129" t="str">
        <x:v>4057.81</x:v>
      </x:c>
      <x:c r="G85" s="129" t="str">
        <x:v>0.00</x:v>
      </x:c>
      <x:c r="H85" s="129" t="str">
        <x:v>0.00</x:v>
      </x:c>
      <x:c r="I85" s="129" t="str">
        <x:v>2.19</x:v>
      </x:c>
      <x:c r="J85" s="129" t="str">
        <x:v>0.00</x:v>
      </x:c>
      <x:c r="K85" s="99" t="str">
        <x:v>Mobile</x:v>
      </x:c>
      <x:c r="L85" s="99" t="str">
        <x:v>WIN</x:v>
      </x:c>
    </x:row>
    <x:row r="86">
      <x:c r="A86" s="99" t="str">
        <x:v>2026-06-10 20:49:48</x:v>
      </x:c>
      <x:c r="B86" s="99" t="str">
        <x:v>7411315</x:v>
      </x:c>
      <x:c r="C86" s="99" t="str">
        <x:v>XAUUSD-STD</x:v>
      </x:c>
      <x:c r="D86" s="99" t="str">
        <x:v>SELL</x:v>
      </x:c>
      <x:c r="E86" s="99" t="str">
        <x:v>CLOSED (WIN)</x:v>
      </x:c>
      <x:c r="F86" s="129" t="str">
        <x:v>4054.05</x:v>
      </x:c>
      <x:c r="G86" s="129" t="str">
        <x:v>0.00</x:v>
      </x:c>
      <x:c r="H86" s="129" t="str">
        <x:v>0.00</x:v>
      </x:c>
      <x:c r="I86" s="129" t="str">
        <x:v>3.35</x:v>
      </x:c>
      <x:c r="J86" s="129" t="str">
        <x:v>0.00</x:v>
      </x:c>
      <x:c r="K86" s="99" t="str">
        <x:v>Mobile</x:v>
      </x:c>
      <x:c r="L86" s="99" t="str">
        <x:v>WIN</x:v>
      </x:c>
    </x:row>
    <x:row r="87">
      <x:c r="A87" s="99" t="str">
        <x:v>2026-06-10 22:01:45</x:v>
      </x:c>
      <x:c r="B87" s="99" t="str">
        <x:v>7418748</x:v>
      </x:c>
      <x:c r="C87" s="99" t="str">
        <x:v>XAUUSD-STD</x:v>
      </x:c>
      <x:c r="D87" s="99" t="str">
        <x:v>BUY</x:v>
      </x:c>
      <x:c r="E87" s="99" t="str">
        <x:v>CLOSED (LOSS)</x:v>
      </x:c>
      <x:c r="F87" s="129" t="str">
        <x:v>4071.75</x:v>
      </x:c>
      <x:c r="G87" s="129" t="str">
        <x:v>0.00</x:v>
      </x:c>
      <x:c r="H87" s="129" t="str">
        <x:v>0.00</x:v>
      </x:c>
      <x:c r="I87" s="129" t="str">
        <x:v>0.00</x:v>
      </x:c>
      <x:c r="J87" s="129" t="str">
        <x:v>2.61</x:v>
      </x:c>
      <x:c r="K87" s="99" t="str">
        <x:v>Mobile</x:v>
      </x:c>
      <x:c r="L87" s="99" t="str">
        <x:v>LOSS</x:v>
      </x:c>
    </x:row>
    <x:row r="88">
      <x:c r="A88" s="99" t="str">
        <x:v>2026-06-10 22:04:16</x:v>
      </x:c>
      <x:c r="B88" s="99" t="str">
        <x:v>7418847</x:v>
      </x:c>
      <x:c r="C88" s="99" t="str">
        <x:v>XAUUSD-STD</x:v>
      </x:c>
      <x:c r="D88" s="99" t="str">
        <x:v>BUY</x:v>
      </x:c>
      <x:c r="E88" s="99" t="str">
        <x:v>CLOSED (LOSS)</x:v>
      </x:c>
      <x:c r="F88" s="129" t="str">
        <x:v>4073.21</x:v>
      </x:c>
      <x:c r="G88" s="129" t="str">
        <x:v>0.00</x:v>
      </x:c>
      <x:c r="H88" s="129" t="str">
        <x:v>0.00</x:v>
      </x:c>
      <x:c r="I88" s="129" t="str">
        <x:v>0.00</x:v>
      </x:c>
      <x:c r="J88" s="129" t="str">
        <x:v>3.25</x:v>
      </x:c>
      <x:c r="K88" s="99" t="str">
        <x:v>Mobile</x:v>
      </x:c>
      <x:c r="L88" s="99" t="str">
        <x:v>LOSS</x:v>
      </x:c>
    </x:row>
    <x:row r="89">
      <x:c r="A89" s="99" t="str">
        <x:v>2026-06-10 22:49:35</x:v>
      </x:c>
      <x:c r="B89" s="99" t="str">
        <x:v>7420567</x:v>
      </x:c>
      <x:c r="C89" s="99" t="str">
        <x:v>XAUUSD-STD</x:v>
      </x:c>
      <x:c r="D89" s="99" t="str">
        <x:v>BUY</x:v>
      </x:c>
      <x:c r="E89" s="99" t="str">
        <x:v>CLOSED (WIN)</x:v>
      </x:c>
      <x:c r="F89" s="129" t="str">
        <x:v>4084.47</x:v>
      </x:c>
      <x:c r="G89" s="129" t="str">
        <x:v>0.00</x:v>
      </x:c>
      <x:c r="H89" s="129" t="str">
        <x:v>0.00</x:v>
      </x:c>
      <x:c r="I89" s="129" t="str">
        <x:v>3.07</x:v>
      </x:c>
      <x:c r="J89" s="129" t="str">
        <x:v>0.00</x:v>
      </x:c>
      <x:c r="K89" s="99" t="str">
        <x:v>Mobile</x:v>
      </x:c>
      <x:c r="L89" s="99" t="str">
        <x:v>WIN</x:v>
      </x:c>
    </x:row>
    <x:row r="90">
      <x:c r="A90" s="99" t="str">
        <x:v>2026-06-10 23:01:06</x:v>
      </x:c>
      <x:c r="B90" s="99" t="str">
        <x:v>7422559</x:v>
      </x:c>
      <x:c r="C90" s="99" t="str">
        <x:v>XAUUSD-STD</x:v>
      </x:c>
      <x:c r="D90" s="99" t="str">
        <x:v>SELL</x:v>
      </x:c>
      <x:c r="E90" s="99" t="str">
        <x:v>CLOSED (WIN)</x:v>
      </x:c>
      <x:c r="F90" s="129" t="str">
        <x:v>4077.99</x:v>
      </x:c>
      <x:c r="G90" s="129" t="str">
        <x:v>0.00</x:v>
      </x:c>
      <x:c r="H90" s="129" t="str">
        <x:v>0.00</x:v>
      </x:c>
      <x:c r="I90" s="129" t="str">
        <x:v>5.35</x:v>
      </x:c>
      <x:c r="J90" s="129" t="str">
        <x:v>0.00</x:v>
      </x:c>
      <x:c r="K90" s="99" t="str">
        <x:v>Mobile</x:v>
      </x:c>
      <x:c r="L90" s="99" t="str">
        <x:v>WIN</x:v>
      </x:c>
    </x:row>
    <x:row r="91">
      <x:c r="A91" s="99" t="str">
        <x:v>2026-06-10 23:05:32</x:v>
      </x:c>
      <x:c r="B91" s="99" t="str">
        <x:v>7422726</x:v>
      </x:c>
      <x:c r="C91" s="99" t="str">
        <x:v>XAUUSD-STD</x:v>
      </x:c>
      <x:c r="D91" s="99" t="str">
        <x:v>SELL</x:v>
      </x:c>
      <x:c r="E91" s="99" t="str">
        <x:v>CLOSED (LOSS)</x:v>
      </x:c>
      <x:c r="F91" s="129" t="str">
        <x:v>4079.92</x:v>
      </x:c>
      <x:c r="G91" s="129" t="str">
        <x:v>0.00</x:v>
      </x:c>
      <x:c r="H91" s="129" t="str">
        <x:v>0.00</x:v>
      </x:c>
      <x:c r="I91" s="129" t="str">
        <x:v>0.00</x:v>
      </x:c>
      <x:c r="J91" s="129" t="str">
        <x:v>5.28</x:v>
      </x:c>
      <x:c r="K91" s="99" t="str">
        <x:v>Mobile</x:v>
      </x:c>
      <x:c r="L91" s="99" t="str">
        <x:v>LOSS</x:v>
      </x:c>
    </x:row>
    <x:row r="92">
      <x:c r="A92" s="99" t="str">
        <x:v>2026-06-10 23:08:37</x:v>
      </x:c>
      <x:c r="B92" s="99" t="str">
        <x:v>7422818</x:v>
      </x:c>
      <x:c r="C92" s="99" t="str">
        <x:v>XAUUSD-STD</x:v>
      </x:c>
      <x:c r="D92" s="99" t="str">
        <x:v>BUY</x:v>
      </x:c>
      <x:c r="E92" s="99" t="str">
        <x:v>CLOSED (WIN)</x:v>
      </x:c>
      <x:c r="F92" s="129" t="str">
        <x:v>4078.00</x:v>
      </x:c>
      <x:c r="G92" s="129" t="str">
        <x:v>4066.00</x:v>
      </x:c>
      <x:c r="H92" s="129" t="str">
        <x:v>4078.00</x:v>
      </x:c>
      <x:c r="I92" s="129" t="str">
        <x:v>2.79</x:v>
      </x:c>
      <x:c r="J92" s="129" t="str">
        <x:v>0.00</x:v>
      </x:c>
      <x:c r="K92" s="99" t="str">
        <x:v>JACKY GOLD PR</x:v>
      </x:c>
      <x:c r="L92" s="99" t="str">
        <x:v>WIN</x:v>
      </x:c>
    </x:row>
    <x:row r="93">
      <x:c r="A93" s="99" t="str">
        <x:v>2026-06-10 23:09:52</x:v>
      </x:c>
      <x:c r="B93" s="99" t="str">
        <x:v>7422872</x:v>
      </x:c>
      <x:c r="C93" s="99" t="str">
        <x:v>XAUUSD-STD</x:v>
      </x:c>
      <x:c r="D93" s="99" t="str">
        <x:v>SELL</x:v>
      </x:c>
      <x:c r="E93" s="99" t="str">
        <x:v>CLOSED (LOSS)</x:v>
      </x:c>
      <x:c r="F93" s="129" t="str">
        <x:v>4079.44</x:v>
      </x:c>
      <x:c r="G93" s="129" t="str">
        <x:v>0.00</x:v>
      </x:c>
      <x:c r="H93" s="129" t="str">
        <x:v>0.00</x:v>
      </x:c>
      <x:c r="I93" s="129" t="str">
        <x:v>0.00</x:v>
      </x:c>
      <x:c r="J93" s="129" t="str">
        <x:v>4.36</x:v>
      </x:c>
      <x:c r="K93" s="99" t="str">
        <x:v>Mobile</x:v>
      </x:c>
      <x:c r="L93" s="99" t="str">
        <x:v>LOSS</x:v>
      </x:c>
    </x:row>
    <x:row r="94">
      <x:c r="A94" s="99" t="str">
        <x:v>2026-06-10 23:33:45</x:v>
      </x:c>
      <x:c r="B94" s="99" t="str">
        <x:v>7423688</x:v>
      </x:c>
      <x:c r="C94" s="99" t="str">
        <x:v>XAUUSD-STD</x:v>
      </x:c>
      <x:c r="D94" s="99" t="str">
        <x:v>SELL</x:v>
      </x:c>
      <x:c r="E94" s="99" t="str">
        <x:v>CLOSED (LOSS)</x:v>
      </x:c>
      <x:c r="F94" s="129" t="str">
        <x:v>4092.01</x:v>
      </x:c>
      <x:c r="G94" s="129" t="str">
        <x:v>0.00</x:v>
      </x:c>
      <x:c r="H94" s="129" t="str">
        <x:v>0.00</x:v>
      </x:c>
      <x:c r="I94" s="129" t="str">
        <x:v>0.00</x:v>
      </x:c>
      <x:c r="J94" s="129" t="str">
        <x:v>22.37</x:v>
      </x:c>
      <x:c r="K94" s="99" t="str">
        <x:v>Mobile</x:v>
      </x:c>
      <x:c r="L94" s="99" t="str">
        <x:v>LOSS</x:v>
      </x:c>
    </x:row>
    <x:row r="95">
      <x:c r="A95" s="99" t="str">
        <x:v>2026-06-10 23:53:12</x:v>
      </x:c>
      <x:c r="B95" s="99" t="str">
        <x:v>7425428</x:v>
      </x:c>
      <x:c r="C95" s="99" t="str">
        <x:v>XAUUSD-STD</x:v>
      </x:c>
      <x:c r="D95" s="99" t="str">
        <x:v>SELL</x:v>
      </x:c>
      <x:c r="E95" s="99" t="str">
        <x:v>CLOSED (WIN)</x:v>
      </x:c>
      <x:c r="F95" s="129" t="str">
        <x:v>4096.00</x:v>
      </x:c>
      <x:c r="G95" s="129" t="str">
        <x:v>4114.00</x:v>
      </x:c>
      <x:c r="H95" s="129" t="str">
        <x:v>4096.00</x:v>
      </x:c>
      <x:c r="I95" s="129" t="str">
        <x:v>4.18</x:v>
      </x:c>
      <x:c r="J95" s="129" t="str">
        <x:v>0.00</x:v>
      </x:c>
      <x:c r="K95" s="99" t="str">
        <x:v>|| XAUUSD Usa</x:v>
      </x:c>
      <x:c r="L95" s="99" t="str">
        <x:v>WIN</x:v>
      </x:c>
    </x:row>
    <x:row r="96">
      <x:c r="A96" s="99" t="str">
        <x:v>2026-06-10 23:55:17</x:v>
      </x:c>
      <x:c r="B96" s="99" t="str">
        <x:v>7425139</x:v>
      </x:c>
      <x:c r="C96" s="99" t="str">
        <x:v>XAUUSD-STD</x:v>
      </x:c>
      <x:c r="D96" s="99" t="str">
        <x:v>BUY</x:v>
      </x:c>
      <x:c r="E96" s="99" t="str">
        <x:v>CLOSED (WIN)</x:v>
      </x:c>
      <x:c r="F96" s="129" t="str">
        <x:v>4096.00</x:v>
      </x:c>
      <x:c r="G96" s="129" t="str">
        <x:v>4084.00</x:v>
      </x:c>
      <x:c r="H96" s="129" t="str">
        <x:v>4096.00</x:v>
      </x:c>
      <x:c r="I96" s="129" t="str">
        <x:v>2.79</x:v>
      </x:c>
      <x:c r="J96" s="129" t="str">
        <x:v>0.00</x:v>
      </x:c>
      <x:c r="K96" s="99" t="str">
        <x:v>JACKY GOLD PR</x:v>
      </x:c>
      <x:c r="L96" s="99" t="str">
        <x:v>WIN</x:v>
      </x:c>
    </x:row>
    <x:row r="97">
      <x:c r="A97" s="99" t="str">
        <x:v>2026-06-11 00:52:17</x:v>
      </x:c>
      <x:c r="B97" s="99" t="str">
        <x:v>7428863</x:v>
      </x:c>
      <x:c r="C97" s="99" t="str">
        <x:v>XAUUSD-STD</x:v>
      </x:c>
      <x:c r="D97" s="99" t="str">
        <x:v>BUY</x:v>
      </x:c>
      <x:c r="E97" s="99" t="str">
        <x:v>CLOSED (WIN)</x:v>
      </x:c>
      <x:c r="F97" s="129" t="str">
        <x:v>4094.27</x:v>
      </x:c>
      <x:c r="G97" s="129" t="str">
        <x:v>0.00</x:v>
      </x:c>
      <x:c r="H97" s="129" t="str">
        <x:v>0.00</x:v>
      </x:c>
      <x:c r="I97" s="129" t="str">
        <x:v>2.55</x:v>
      </x:c>
      <x:c r="J97" s="129" t="str">
        <x:v>0.00</x:v>
      </x:c>
      <x:c r="K97" s="99" t="str">
        <x:v>Mobile</x:v>
      </x:c>
      <x:c r="L97" s="99" t="str">
        <x:v>WIN</x:v>
      </x:c>
    </x:row>
    <x:row r="98">
      <x:c r="A98" s="99" t="str">
        <x:v>2026-06-11 01:10:49</x:v>
      </x:c>
      <x:c r="B98" s="99" t="str">
        <x:v>7428964</x:v>
      </x:c>
      <x:c r="C98" s="99" t="str">
        <x:v>XAUUSD-STD</x:v>
      </x:c>
      <x:c r="D98" s="99" t="str">
        <x:v>BUY</x:v>
      </x:c>
      <x:c r="E98" s="99" t="str">
        <x:v>CLOSED (WIN)</x:v>
      </x:c>
      <x:c r="F98" s="129" t="str">
        <x:v>4095.72</x:v>
      </x:c>
      <x:c r="G98" s="129" t="str">
        <x:v>0.00</x:v>
      </x:c>
      <x:c r="H98" s="129" t="str">
        <x:v>0.00</x:v>
      </x:c>
      <x:c r="I98" s="129" t="str">
        <x:v>2.16</x:v>
      </x:c>
      <x:c r="J98" s="129" t="str">
        <x:v>0.00</x:v>
      </x:c>
      <x:c r="K98" s="99" t="str">
        <x:v>Mobile</x:v>
      </x:c>
      <x:c r="L98" s="99" t="str">
        <x:v>WIN</x:v>
      </x:c>
    </x:row>
    <x:row r="99">
      <x:c r="A99" s="99" t="str">
        <x:v>2026-06-11 01:10:54</x:v>
      </x:c>
      <x:c r="B99" s="99" t="str">
        <x:v>7429034</x:v>
      </x:c>
      <x:c r="C99" s="99" t="str">
        <x:v>XAUUSD-STD</x:v>
      </x:c>
      <x:c r="D99" s="99" t="str">
        <x:v>BUY</x:v>
      </x:c>
      <x:c r="E99" s="99" t="str">
        <x:v>CLOSED (LOSS)</x:v>
      </x:c>
      <x:c r="F99" s="129" t="str">
        <x:v>4095.68</x:v>
      </x:c>
      <x:c r="G99" s="129" t="str">
        <x:v>0.00</x:v>
      </x:c>
      <x:c r="H99" s="129" t="str">
        <x:v>0.00</x:v>
      </x:c>
      <x:c r="I99" s="129" t="str">
        <x:v>0.00</x:v>
      </x:c>
      <x:c r="J99" s="129" t="str">
        <x:v>1.70</x:v>
      </x:c>
      <x:c r="K99" s="99" t="str">
        <x:v>Mobile</x:v>
      </x:c>
      <x:c r="L99" s="99" t="str">
        <x:v>LOSS</x:v>
      </x:c>
    </x:row>
    <x:row r="100">
      <x:c r="A100" s="99" t="str">
        <x:v>2026-06-11 01:16:15</x:v>
      </x:c>
      <x:c r="B100" s="99" t="str">
        <x:v>7429531</x:v>
      </x:c>
      <x:c r="C100" s="99" t="str">
        <x:v>XAUUSD-STD</x:v>
      </x:c>
      <x:c r="D100" s="99" t="str">
        <x:v>BUY</x:v>
      </x:c>
      <x:c r="E100" s="99" t="str">
        <x:v>CLOSED (WIN)</x:v>
      </x:c>
      <x:c r="F100" s="129" t="str">
        <x:v>4100.52</x:v>
      </x:c>
      <x:c r="G100" s="129" t="str">
        <x:v>0.00</x:v>
      </x:c>
      <x:c r="H100" s="129" t="str">
        <x:v>0.00</x:v>
      </x:c>
      <x:c r="I100" s="129" t="str">
        <x:v>2.61</x:v>
      </x:c>
      <x:c r="J100" s="129" t="str">
        <x:v>0.00</x:v>
      </x:c>
      <x:c r="K100" s="99" t="str">
        <x:v>Mobile</x:v>
      </x:c>
      <x:c r="L100" s="99" t="str">
        <x:v>WIN</x:v>
      </x:c>
    </x:row>
    <x:row r="101">
      <x:c r="A101" s="99" t="str">
        <x:v>2026-06-11 01:20:05</x:v>
      </x:c>
      <x:c r="B101" s="99" t="str">
        <x:v>7429795</x:v>
      </x:c>
      <x:c r="C101" s="99" t="str">
        <x:v>XAUUSD-STD</x:v>
      </x:c>
      <x:c r="D101" s="99" t="str">
        <x:v>BUY</x:v>
      </x:c>
      <x:c r="E101" s="99" t="str">
        <x:v>CLOSED (WIN)</x:v>
      </x:c>
      <x:c r="F101" s="129" t="str">
        <x:v>4105.02</x:v>
      </x:c>
      <x:c r="G101" s="129" t="str">
        <x:v>0.00</x:v>
      </x:c>
      <x:c r="H101" s="129" t="str">
        <x:v>0.00</x:v>
      </x:c>
      <x:c r="I101" s="129" t="str">
        <x:v>3.39</x:v>
      </x:c>
      <x:c r="J101" s="129" t="str">
        <x:v>0.00</x:v>
      </x:c>
      <x:c r="K101" s="99" t="str">
        <x:v>Mobile</x:v>
      </x:c>
      <x:c r="L101" s="99" t="str">
        <x:v>WIN</x:v>
      </x:c>
    </x:row>
    <x:row r="102">
      <x:c r="A102" s="99" t="str">
        <x:v>2026-06-11 01:25:51</x:v>
      </x:c>
      <x:c r="B102" s="99" t="str">
        <x:v>7430005</x:v>
      </x:c>
      <x:c r="C102" s="99" t="str">
        <x:v>XAUUSD-STD</x:v>
      </x:c>
      <x:c r="D102" s="99" t="str">
        <x:v>BUY</x:v>
      </x:c>
      <x:c r="E102" s="99" t="str">
        <x:v>CLOSED (WIN)</x:v>
      </x:c>
      <x:c r="F102" s="129" t="str">
        <x:v>4107.01</x:v>
      </x:c>
      <x:c r="G102" s="129" t="str">
        <x:v>0.00</x:v>
      </x:c>
      <x:c r="H102" s="129" t="str">
        <x:v>0.00</x:v>
      </x:c>
      <x:c r="I102" s="129" t="str">
        <x:v>2.40</x:v>
      </x:c>
      <x:c r="J102" s="129" t="str">
        <x:v>0.00</x:v>
      </x:c>
      <x:c r="K102" s="99" t="str">
        <x:v>Mobile</x:v>
      </x:c>
      <x:c r="L102" s="99" t="str">
        <x:v>WIN</x:v>
      </x:c>
    </x:row>
    <x:row r="103">
      <x:c r="A103" s="99" t="str">
        <x:v>2026-06-11 01:26:46</x:v>
      </x:c>
      <x:c r="B103" s="99" t="str">
        <x:v>7430345</x:v>
      </x:c>
      <x:c r="C103" s="99" t="str">
        <x:v>XAUUSD-STD</x:v>
      </x:c>
      <x:c r="D103" s="99" t="str">
        <x:v>BUY</x:v>
      </x:c>
      <x:c r="E103" s="99" t="str">
        <x:v>CLOSED (WIN)</x:v>
      </x:c>
      <x:c r="F103" s="129" t="str">
        <x:v>4109.65</x:v>
      </x:c>
      <x:c r="G103" s="129" t="str">
        <x:v>0.00</x:v>
      </x:c>
      <x:c r="H103" s="129" t="str">
        <x:v>0.00</x:v>
      </x:c>
      <x:c r="I103" s="129" t="str">
        <x:v>1.14</x:v>
      </x:c>
      <x:c r="J103" s="129" t="str">
        <x:v>0.00</x:v>
      </x:c>
      <x:c r="K103" s="99" t="str">
        <x:v>Mobile</x:v>
      </x:c>
      <x:c r="L103" s="99" t="str">
        <x:v>WIN</x:v>
      </x:c>
    </x:row>
    <x:row r="104">
      <x:c r="A104" s="99" t="str">
        <x:v>2026-06-11 02:01:20</x:v>
      </x:c>
      <x:c r="B104" s="99" t="str">
        <x:v>7431508</x:v>
      </x:c>
      <x:c r="C104" s="99" t="str">
        <x:v>XAUUSD-STD</x:v>
      </x:c>
      <x:c r="D104" s="99" t="str">
        <x:v>SELL</x:v>
      </x:c>
      <x:c r="E104" s="99" t="str">
        <x:v>CLOSED (LOSS)</x:v>
      </x:c>
      <x:c r="F104" s="129" t="str">
        <x:v>4111.76</x:v>
      </x:c>
      <x:c r="G104" s="129" t="str">
        <x:v>4111.00</x:v>
      </x:c>
      <x:c r="H104" s="129" t="str">
        <x:v>4098.00</x:v>
      </x:c>
      <x:c r="I104" s="129" t="str">
        <x:v>0.00</x:v>
      </x:c>
      <x:c r="J104" s="129" t="str">
        <x:v>14.69</x:v>
      </x:c>
      <x:c r="K104" s="99" t="str">
        <x:v>XAUUSD/TRADIN</x:v>
      </x:c>
      <x:c r="L104" s="99" t="str">
        <x:v>LOSS</x:v>
      </x:c>
    </x:row>
    <x:row r="105">
      <x:c r="A105" s="99" t="str">
        <x:v>2026-06-11 02:02:10</x:v>
      </x:c>
      <x:c r="B105" s="99" t="str">
        <x:v>7431233</x:v>
      </x:c>
      <x:c r="C105" s="99" t="str">
        <x:v>XAUUSD-STD</x:v>
      </x:c>
      <x:c r="D105" s="99" t="str">
        <x:v>BUY</x:v>
      </x:c>
      <x:c r="E105" s="99" t="str">
        <x:v>CLOSED (WIN)</x:v>
      </x:c>
      <x:c r="F105" s="129" t="str">
        <x:v>4108.96</x:v>
      </x:c>
      <x:c r="G105" s="129" t="str">
        <x:v>0.00</x:v>
      </x:c>
      <x:c r="H105" s="129" t="str">
        <x:v>0.00</x:v>
      </x:c>
      <x:c r="I105" s="129" t="str">
        <x:v>4.01</x:v>
      </x:c>
      <x:c r="J105" s="129" t="str">
        <x:v>0.00</x:v>
      </x:c>
      <x:c r="K105" s="99" t="str">
        <x:v>Mobile</x:v>
      </x:c>
      <x:c r="L105" s="99" t="str">
        <x:v>WIN</x:v>
      </x:c>
    </x:row>
    <x:row r="106">
      <x:c r="A106" s="99" t="str">
        <x:v>2026-06-11 02:16:41</x:v>
      </x:c>
      <x:c r="B106" s="99" t="str">
        <x:v>7431873</x:v>
      </x:c>
      <x:c r="C106" s="99" t="str">
        <x:v>XAUUSD-STD</x:v>
      </x:c>
      <x:c r="D106" s="99" t="str">
        <x:v>BUY</x:v>
      </x:c>
      <x:c r="E106" s="99" t="str">
        <x:v>CLOSED (LOSS)</x:v>
      </x:c>
      <x:c r="F106" s="129" t="str">
        <x:v>4105.65</x:v>
      </x:c>
      <x:c r="G106" s="129" t="str">
        <x:v>0.00</x:v>
      </x:c>
      <x:c r="H106" s="129" t="str">
        <x:v>0.00</x:v>
      </x:c>
      <x:c r="I106" s="129" t="str">
        <x:v>0.00</x:v>
      </x:c>
      <x:c r="J106" s="129" t="str">
        <x:v>7.60</x:v>
      </x:c>
      <x:c r="K106" s="99" t="str">
        <x:v>Mobile</x:v>
      </x:c>
      <x:c r="L106" s="99" t="str">
        <x:v>LOSS</x:v>
      </x:c>
    </x:row>
    <x:row r="107">
      <x:c r="A107" s="99" t="str">
        <x:v>2026-06-11 02:43:09</x:v>
      </x:c>
      <x:c r="B107" s="99" t="str">
        <x:v>7432988</x:v>
      </x:c>
      <x:c r="C107" s="99" t="str">
        <x:v>XAUUSD-STD</x:v>
      </x:c>
      <x:c r="D107" s="99" t="str">
        <x:v>SELL</x:v>
      </x:c>
      <x:c r="E107" s="99" t="str">
        <x:v>CLOSED (WIN)</x:v>
      </x:c>
      <x:c r="F107" s="129" t="str">
        <x:v>4092.33</x:v>
      </x:c>
      <x:c r="G107" s="129" t="str">
        <x:v>0.00</x:v>
      </x:c>
      <x:c r="H107" s="129" t="str">
        <x:v>0.00</x:v>
      </x:c>
      <x:c r="I107" s="129" t="str">
        <x:v>6.68</x:v>
      </x:c>
      <x:c r="J107" s="129" t="str">
        <x:v>0.00</x:v>
      </x:c>
      <x:c r="K107" s="99" t="str">
        <x:v>Mobile</x:v>
      </x:c>
      <x:c r="L107" s="99" t="str">
        <x:v>WIN</x:v>
      </x:c>
    </x:row>
    <x:row r="108">
      <x:c r="A108" s="99" t="str">
        <x:v>2026-06-11 02:51:35</x:v>
      </x:c>
      <x:c r="B108" s="99" t="str">
        <x:v>7433182</x:v>
      </x:c>
      <x:c r="C108" s="99" t="str">
        <x:v>XAUUSD-STD</x:v>
      </x:c>
      <x:c r="D108" s="99" t="str">
        <x:v>SELL</x:v>
      </x:c>
      <x:c r="E108" s="99" t="str">
        <x:v>CLOSED (WIN)</x:v>
      </x:c>
      <x:c r="F108" s="129" t="str">
        <x:v>4090.68</x:v>
      </x:c>
      <x:c r="G108" s="129" t="str">
        <x:v>0.00</x:v>
      </x:c>
      <x:c r="H108" s="129" t="str">
        <x:v>0.00</x:v>
      </x:c>
      <x:c r="I108" s="129" t="str">
        <x:v>1.10</x:v>
      </x:c>
      <x:c r="J108" s="129" t="str">
        <x:v>0.00</x:v>
      </x:c>
      <x:c r="K108" s="99" t="str">
        <x:v>Mobile</x:v>
      </x:c>
      <x:c r="L108" s="99" t="str">
        <x:v>WIN</x:v>
      </x:c>
    </x:row>
    <x:row r="109">
      <x:c r="A109" s="99" t="str">
        <x:v>2026-06-11 02:58:25</x:v>
      </x:c>
      <x:c r="B109" s="99" t="str">
        <x:v>7433786</x:v>
      </x:c>
      <x:c r="C109" s="99" t="str">
        <x:v>XAUUSD-STD</x:v>
      </x:c>
      <x:c r="D109" s="99" t="str">
        <x:v>SELL</x:v>
      </x:c>
      <x:c r="E109" s="99" t="str">
        <x:v>CLOSED (WIN)</x:v>
      </x:c>
      <x:c r="F109" s="129" t="str">
        <x:v>4086.86</x:v>
      </x:c>
      <x:c r="G109" s="129" t="str">
        <x:v>0.00</x:v>
      </x:c>
      <x:c r="H109" s="129" t="str">
        <x:v>0.00</x:v>
      </x:c>
      <x:c r="I109" s="129" t="str">
        <x:v>1.20</x:v>
      </x:c>
      <x:c r="J109" s="129" t="str">
        <x:v>0.00</x:v>
      </x:c>
      <x:c r="K109" s="99" t="str">
        <x:v>Mobile</x:v>
      </x:c>
      <x:c r="L109" s="99" t="str">
        <x:v>WIN</x:v>
      </x:c>
    </x:row>
    <x:row r="110">
      <x:c r="A110" s="99" t="str">
        <x:v>2026-06-11 02:58:25</x:v>
      </x:c>
      <x:c r="B110" s="99" t="str">
        <x:v>7433594</x:v>
      </x:c>
      <x:c r="C110" s="99" t="str">
        <x:v>XAUUSD-STD</x:v>
      </x:c>
      <x:c r="D110" s="99" t="str">
        <x:v>SELL</x:v>
      </x:c>
      <x:c r="E110" s="99" t="str">
        <x:v>CLOSED (WIN)</x:v>
      </x:c>
      <x:c r="F110" s="129" t="str">
        <x:v>4086.86</x:v>
      </x:c>
      <x:c r="G110" s="129" t="str">
        <x:v>0.00</x:v>
      </x:c>
      <x:c r="H110" s="129" t="str">
        <x:v>0.00</x:v>
      </x:c>
      <x:c r="I110" s="129" t="str">
        <x:v>4.26</x:v>
      </x:c>
      <x:c r="J110" s="129" t="str">
        <x:v>0.00</x:v>
      </x:c>
      <x:c r="K110" s="99" t="str">
        <x:v>Mobile</x:v>
      </x:c>
      <x:c r="L110" s="99" t="str">
        <x:v>WIN</x:v>
      </x:c>
    </x:row>
    <x:row r="111">
      <x:c r="A111" s="99" t="str">
        <x:v>2026-06-11 03:00:36</x:v>
      </x:c>
      <x:c r="B111" s="99" t="str">
        <x:v>7433944</x:v>
      </x:c>
      <x:c r="C111" s="99" t="str">
        <x:v>XAUUSD-STD</x:v>
      </x:c>
      <x:c r="D111" s="99" t="str">
        <x:v>SELL</x:v>
      </x:c>
      <x:c r="E111" s="99" t="str">
        <x:v>CLOSED (WIN)</x:v>
      </x:c>
      <x:c r="F111" s="129" t="str">
        <x:v>4085.68</x:v>
      </x:c>
      <x:c r="G111" s="129" t="str">
        <x:v>0.00</x:v>
      </x:c>
      <x:c r="H111" s="129" t="str">
        <x:v>0.00</x:v>
      </x:c>
      <x:c r="I111" s="129" t="str">
        <x:v>1.57</x:v>
      </x:c>
      <x:c r="J111" s="129" t="str">
        <x:v>0.00</x:v>
      </x:c>
      <x:c r="K111" s="99" t="str">
        <x:v>Mobile</x:v>
      </x:c>
      <x:c r="L111" s="99" t="str">
        <x:v>WIN</x:v>
      </x:c>
    </x:row>
    <x:row r="112">
      <x:c r="A112" s="99" t="str">
        <x:v>2026-06-11 03:08:51</x:v>
      </x:c>
      <x:c r="B112" s="99" t="str">
        <x:v>7434117</x:v>
      </x:c>
      <x:c r="C112" s="99" t="str">
        <x:v>XAUUSD-STD</x:v>
      </x:c>
      <x:c r="D112" s="99" t="str">
        <x:v>SELL</x:v>
      </x:c>
      <x:c r="E112" s="99" t="str">
        <x:v>CLOSED (LOSS)</x:v>
      </x:c>
      <x:c r="F112" s="129" t="str">
        <x:v>4083.43</x:v>
      </x:c>
      <x:c r="G112" s="129" t="str">
        <x:v>0.00</x:v>
      </x:c>
      <x:c r="H112" s="129" t="str">
        <x:v>0.00</x:v>
      </x:c>
      <x:c r="I112" s="129" t="str">
        <x:v>0.00</x:v>
      </x:c>
      <x:c r="J112" s="129" t="str">
        <x:v>0.00</x:v>
      </x:c>
      <x:c r="K112" s="99" t="str">
        <x:v>Mobile</x:v>
      </x:c>
      <x:c r="L112" s="99" t="str">
        <x:v>LOSS</x:v>
      </x:c>
    </x:row>
    <x:row r="113">
      <x:c r="A113" s="99" t="str">
        <x:v>2026-06-11 03:09:16</x:v>
      </x:c>
      <x:c r="B113" s="99" t="str">
        <x:v>7434177</x:v>
      </x:c>
      <x:c r="C113" s="99" t="str">
        <x:v>XAUUSD-STD</x:v>
      </x:c>
      <x:c r="D113" s="99" t="str">
        <x:v>SELL</x:v>
      </x:c>
      <x:c r="E113" s="99" t="str">
        <x:v>CLOSED (WIN)</x:v>
      </x:c>
      <x:c r="F113" s="129" t="str">
        <x:v>4083.21</x:v>
      </x:c>
      <x:c r="G113" s="129" t="str">
        <x:v>0.00</x:v>
      </x:c>
      <x:c r="H113" s="129" t="str">
        <x:v>0.00</x:v>
      </x:c>
      <x:c r="I113" s="129" t="str">
        <x:v>3.37</x:v>
      </x:c>
      <x:c r="J113" s="129" t="str">
        <x:v>0.00</x:v>
      </x:c>
      <x:c r="K113" s="99" t="str">
        <x:v>Mobile</x:v>
      </x:c>
      <x:c r="L113" s="99" t="str">
        <x:v>WIN</x:v>
      </x:c>
    </x:row>
    <x:row r="114">
      <x:c r="A114" s="99" t="str">
        <x:v>2026-06-11 03:12:57</x:v>
      </x:c>
      <x:c r="B114" s="99" t="str">
        <x:v>7434478</x:v>
      </x:c>
      <x:c r="C114" s="99" t="str">
        <x:v>XAUUSD-STD</x:v>
      </x:c>
      <x:c r="D114" s="99" t="str">
        <x:v>SELL</x:v>
      </x:c>
      <x:c r="E114" s="99" t="str">
        <x:v>CLOSED (LOSS)</x:v>
      </x:c>
      <x:c r="F114" s="129" t="str">
        <x:v>4085.61</x:v>
      </x:c>
      <x:c r="G114" s="129" t="str">
        <x:v>0.00</x:v>
      </x:c>
      <x:c r="H114" s="129" t="str">
        <x:v>0.00</x:v>
      </x:c>
      <x:c r="I114" s="129" t="str">
        <x:v>0.00</x:v>
      </x:c>
      <x:c r="J114" s="129" t="str">
        <x:v>5.91</x:v>
      </x:c>
      <x:c r="K114" s="99" t="str">
        <x:v>Mobile</x:v>
      </x:c>
      <x:c r="L114" s="99" t="str">
        <x:v>LOSS</x:v>
      </x:c>
    </x:row>
    <x:row r="115">
      <x:c r="A115" s="99" t="str">
        <x:v>2026-06-11 03:12:57</x:v>
      </x:c>
      <x:c r="B115" s="99" t="str">
        <x:v>7434475</x:v>
      </x:c>
      <x:c r="C115" s="99" t="str">
        <x:v>XAUUSD-STD</x:v>
      </x:c>
      <x:c r="D115" s="99" t="str">
        <x:v>SELL</x:v>
      </x:c>
      <x:c r="E115" s="99" t="str">
        <x:v>CLOSED (LOSS)</x:v>
      </x:c>
      <x:c r="F115" s="129" t="str">
        <x:v>4085.61</x:v>
      </x:c>
      <x:c r="G115" s="129" t="str">
        <x:v>0.00</x:v>
      </x:c>
      <x:c r="H115" s="129" t="str">
        <x:v>0.00</x:v>
      </x:c>
      <x:c r="I115" s="129" t="str">
        <x:v>0.00</x:v>
      </x:c>
      <x:c r="J115" s="129" t="str">
        <x:v>5.86</x:v>
      </x:c>
      <x:c r="K115" s="99" t="str">
        <x:v>Mobile</x:v>
      </x:c>
      <x:c r="L115" s="99" t="str">
        <x:v>LOSS</x:v>
      </x:c>
    </x:row>
    <x:row r="116">
      <x:c r="A116" s="99" t="str">
        <x:v>2026-06-11 06:30:09</x:v>
      </x:c>
      <x:c r="B116" s="99" t="str">
        <x:v>7443023</x:v>
      </x:c>
      <x:c r="C116" s="99" t="str">
        <x:v>XAUUSD-STD</x:v>
      </x:c>
      <x:c r="D116" s="99" t="str">
        <x:v>SELL</x:v>
      </x:c>
      <x:c r="E116" s="99" t="str">
        <x:v>CLOSED (WIN)</x:v>
      </x:c>
      <x:c r="F116" s="129" t="str">
        <x:v>4067.00</x:v>
      </x:c>
      <x:c r="G116" s="129" t="str">
        <x:v>4080.00</x:v>
      </x:c>
      <x:c r="H116" s="129" t="str">
        <x:v>4067.00</x:v>
      </x:c>
      <x:c r="I116" s="129" t="str">
        <x:v>7.72</x:v>
      </x:c>
      <x:c r="J116" s="129" t="str">
        <x:v>0.00</x:v>
      </x:c>
      <x:c r="K116" s="99" t="str">
        <x:v>FOREX EXPERT</x:v>
      </x:c>
      <x:c r="L116" s="99" t="str">
        <x:v>WIN</x:v>
      </x:c>
    </x:row>
    <x:row r="117">
      <x:c r="A117" s="99" t="str">
        <x:v>2026-06-11 07:14:09</x:v>
      </x:c>
      <x:c r="B117" s="99" t="str">
        <x:v>7448989</x:v>
      </x:c>
      <x:c r="C117" s="99" t="str">
        <x:v>XAUUSD-STD</x:v>
      </x:c>
      <x:c r="D117" s="99" t="str">
        <x:v>SELL</x:v>
      </x:c>
      <x:c r="E117" s="99" t="str">
        <x:v>CLOSED (WIN)</x:v>
      </x:c>
      <x:c r="F117" s="129" t="str">
        <x:v>4075.08</x:v>
      </x:c>
      <x:c r="G117" s="129" t="str">
        <x:v>0.00</x:v>
      </x:c>
      <x:c r="H117" s="129" t="str">
        <x:v>0.00</x:v>
      </x:c>
      <x:c r="I117" s="129" t="str">
        <x:v>4.00</x:v>
      </x:c>
      <x:c r="J117" s="129" t="str">
        <x:v>0.00</x:v>
      </x:c>
      <x:c r="K117" s="99" t="str">
        <x:v>Mobile</x:v>
      </x:c>
      <x:c r="L117" s="99" t="str">
        <x:v>WIN</x:v>
      </x:c>
    </x:row>
    <x:row r="118">
      <x:c r="A118" s="99" t="str">
        <x:v>2026-06-11 07:28:20</x:v>
      </x:c>
      <x:c r="B118" s="99" t="str">
        <x:v>7449172</x:v>
      </x:c>
      <x:c r="C118" s="99" t="str">
        <x:v>XAUUSD-STD</x:v>
      </x:c>
      <x:c r="D118" s="99" t="str">
        <x:v>SELL</x:v>
      </x:c>
      <x:c r="E118" s="99" t="str">
        <x:v>CLOSED (LOSS)</x:v>
      </x:c>
      <x:c r="F118" s="129" t="str">
        <x:v>4081.80</x:v>
      </x:c>
      <x:c r="G118" s="129" t="str">
        <x:v>0.00</x:v>
      </x:c>
      <x:c r="H118" s="129" t="str">
        <x:v>0.00</x:v>
      </x:c>
      <x:c r="I118" s="129" t="str">
        <x:v>0.00</x:v>
      </x:c>
      <x:c r="J118" s="129" t="str">
        <x:v>9.78</x:v>
      </x:c>
      <x:c r="K118" s="99" t="str">
        <x:v>Mobile</x:v>
      </x:c>
      <x:c r="L118" s="99" t="str">
        <x:v>LOSS</x:v>
      </x:c>
    </x:row>
    <x:row r="119">
      <x:c r="A119" s="99" t="str">
        <x:v>2026-06-11 07:33:06</x:v>
      </x:c>
      <x:c r="B119" s="99" t="str">
        <x:v>7450617</x:v>
      </x:c>
      <x:c r="C119" s="99" t="str">
        <x:v>XAUUSD-STD</x:v>
      </x:c>
      <x:c r="D119" s="99" t="str">
        <x:v>SELL</x:v>
      </x:c>
      <x:c r="E119" s="99" t="str">
        <x:v>CLOSED (WIN)</x:v>
      </x:c>
      <x:c r="F119" s="129" t="str">
        <x:v>4077.09</x:v>
      </x:c>
      <x:c r="G119" s="129" t="str">
        <x:v>0.00</x:v>
      </x:c>
      <x:c r="H119" s="129" t="str">
        <x:v>0.00</x:v>
      </x:c>
      <x:c r="I119" s="129" t="str">
        <x:v>0.60</x:v>
      </x:c>
      <x:c r="J119" s="129" t="str">
        <x:v>0.00</x:v>
      </x:c>
      <x:c r="K119" s="99" t="str">
        <x:v>Mobile</x:v>
      </x:c>
      <x:c r="L119" s="99" t="str">
        <x:v>WIN</x:v>
      </x:c>
    </x:row>
    <x:row r="120">
      <x:c r="A120" s="99" t="str">
        <x:v>2026-06-11 07:33:06</x:v>
      </x:c>
      <x:c r="B120" s="99" t="str">
        <x:v>7450529</x:v>
      </x:c>
      <x:c r="C120" s="99" t="str">
        <x:v>XAUUSD-STD</x:v>
      </x:c>
      <x:c r="D120" s="99" t="str">
        <x:v>SELL</x:v>
      </x:c>
      <x:c r="E120" s="99" t="str">
        <x:v>CLOSED (WIN)</x:v>
      </x:c>
      <x:c r="F120" s="129" t="str">
        <x:v>4077.09</x:v>
      </x:c>
      <x:c r="G120" s="129" t="str">
        <x:v>0.00</x:v>
      </x:c>
      <x:c r="H120" s="129" t="str">
        <x:v>0.00</x:v>
      </x:c>
      <x:c r="I120" s="129" t="str">
        <x:v>5.67</x:v>
      </x:c>
      <x:c r="J120" s="129" t="str">
        <x:v>0.00</x:v>
      </x:c>
      <x:c r="K120" s="99" t="str">
        <x:v>Mobile</x:v>
      </x:c>
      <x:c r="L120" s="99" t="str">
        <x:v>WIN</x:v>
      </x:c>
    </x:row>
    <x:row r="121">
      <x:c r="A121" s="99" t="str">
        <x:v>2026-06-11 07:33:06</x:v>
      </x:c>
      <x:c r="B121" s="99" t="str">
        <x:v>7450907</x:v>
      </x:c>
      <x:c r="C121" s="99" t="str">
        <x:v>XAUUSD-STD</x:v>
      </x:c>
      <x:c r="D121" s="99" t="str">
        <x:v>SELL</x:v>
      </x:c>
      <x:c r="E121" s="99" t="str">
        <x:v>CLOSED (WIN)</x:v>
      </x:c>
      <x:c r="F121" s="129" t="str">
        <x:v>4077.09</x:v>
      </x:c>
      <x:c r="G121" s="129" t="str">
        <x:v>0.00</x:v>
      </x:c>
      <x:c r="H121" s="129" t="str">
        <x:v>0.00</x:v>
      </x:c>
      <x:c r="I121" s="129" t="str">
        <x:v>2.66</x:v>
      </x:c>
      <x:c r="J121" s="129" t="str">
        <x:v>0.00</x:v>
      </x:c>
      <x:c r="K121" s="99" t="str">
        <x:v>Mobile</x:v>
      </x:c>
      <x:c r="L121" s="99" t="str">
        <x:v>WIN</x:v>
      </x:c>
    </x:row>
    <x:row r="122">
      <x:c r="A122" s="99" t="str">
        <x:v>2026-06-11 07:33:46</x:v>
      </x:c>
      <x:c r="B122" s="99" t="str">
        <x:v>7451283</x:v>
      </x:c>
      <x:c r="C122" s="99" t="str">
        <x:v>XAUUSD-STD</x:v>
      </x:c>
      <x:c r="D122" s="99" t="str">
        <x:v>SELL</x:v>
      </x:c>
      <x:c r="E122" s="99" t="str">
        <x:v>CLOSED (WIN)</x:v>
      </x:c>
      <x:c r="F122" s="129" t="str">
        <x:v>4074.76</x:v>
      </x:c>
      <x:c r="G122" s="129" t="str">
        <x:v>0.00</x:v>
      </x:c>
      <x:c r="H122" s="129" t="str">
        <x:v>0.00</x:v>
      </x:c>
      <x:c r="I122" s="129" t="str">
        <x:v>0.84</x:v>
      </x:c>
      <x:c r="J122" s="129" t="str">
        <x:v>0.00</x:v>
      </x:c>
      <x:c r="K122" s="99" t="str">
        <x:v>Mobile</x:v>
      </x:c>
      <x:c r="L122" s="99" t="str">
        <x:v>WIN</x:v>
      </x:c>
    </x:row>
    <x:row r="123">
      <x:c r="A123" s="99" t="str">
        <x:v>2026-06-11 07:37:41</x:v>
      </x:c>
      <x:c r="B123" s="99" t="str">
        <x:v>7451400</x:v>
      </x:c>
      <x:c r="C123" s="99" t="str">
        <x:v>XAUUSD-STD</x:v>
      </x:c>
      <x:c r="D123" s="99" t="str">
        <x:v>SELL</x:v>
      </x:c>
      <x:c r="E123" s="99" t="str">
        <x:v>CLOSED (LOSS)</x:v>
      </x:c>
      <x:c r="F123" s="129" t="str">
        <x:v>4080.63</x:v>
      </x:c>
      <x:c r="G123" s="129" t="str">
        <x:v>0.00</x:v>
      </x:c>
      <x:c r="H123" s="129" t="str">
        <x:v>0.00</x:v>
      </x:c>
      <x:c r="I123" s="129" t="str">
        <x:v>0.00</x:v>
      </x:c>
      <x:c r="J123" s="129" t="str">
        <x:v>10.12</x:v>
      </x:c>
      <x:c r="K123" s="99" t="str">
        <x:v>Mobile</x:v>
      </x:c>
      <x:c r="L123" s="99" t="str">
        <x:v>LOSS</x:v>
      </x:c>
    </x:row>
    <x:row r="124">
      <x:c r="A124" s="99" t="str">
        <x:v>2026-06-11 07:38:46</x:v>
      </x:c>
      <x:c r="B124" s="99" t="str">
        <x:v>7451406</x:v>
      </x:c>
      <x:c r="C124" s="99" t="str">
        <x:v>XAUUSD-STD</x:v>
      </x:c>
      <x:c r="D124" s="99" t="str">
        <x:v>SELL</x:v>
      </x:c>
      <x:c r="E124" s="99" t="str">
        <x:v>CLOSED (WIN)</x:v>
      </x:c>
      <x:c r="F124" s="129" t="str">
        <x:v>4070.54</x:v>
      </x:c>
      <x:c r="G124" s="129" t="str">
        <x:v>0.00</x:v>
      </x:c>
      <x:c r="H124" s="129" t="str">
        <x:v>0.00</x:v>
      </x:c>
      <x:c r="I124" s="129" t="str">
        <x:v>3.89</x:v>
      </x:c>
      <x:c r="J124" s="129" t="str">
        <x:v>0.00</x:v>
      </x:c>
      <x:c r="K124" s="99" t="str">
        <x:v>Mobile</x:v>
      </x:c>
      <x:c r="L124" s="99" t="str">
        <x:v>WIN</x:v>
      </x:c>
    </x:row>
    <x:row r="125">
      <x:c r="A125" s="99" t="str">
        <x:v>2026-06-11 07:40:47</x:v>
      </x:c>
      <x:c r="B125" s="99" t="str">
        <x:v>7452423</x:v>
      </x:c>
      <x:c r="C125" s="99" t="str">
        <x:v>XAUUSD-STD</x:v>
      </x:c>
      <x:c r="D125" s="99" t="str">
        <x:v>SELL</x:v>
      </x:c>
      <x:c r="E125" s="99" t="str">
        <x:v>CLOSED (WIN)</x:v>
      </x:c>
      <x:c r="F125" s="129" t="str">
        <x:v>4068.98</x:v>
      </x:c>
      <x:c r="G125" s="129" t="str">
        <x:v>0.00</x:v>
      </x:c>
      <x:c r="H125" s="129" t="str">
        <x:v>0.00</x:v>
      </x:c>
      <x:c r="I125" s="129" t="str">
        <x:v>3.99</x:v>
      </x:c>
      <x:c r="J125" s="129" t="str">
        <x:v>0.00</x:v>
      </x:c>
      <x:c r="K125" s="99" t="str">
        <x:v>Mobile</x:v>
      </x:c>
      <x:c r="L125" s="99" t="str">
        <x:v>WIN</x:v>
      </x:c>
    </x:row>
    <x:row r="126">
      <x:c r="A126" s="99" t="str">
        <x:v>2026-06-11 07:45:52</x:v>
      </x:c>
      <x:c r="B126" s="99" t="str">
        <x:v>7452643</x:v>
      </x:c>
      <x:c r="C126" s="99" t="str">
        <x:v>XAUUSD-STD</x:v>
      </x:c>
      <x:c r="D126" s="99" t="str">
        <x:v>SELL</x:v>
      </x:c>
      <x:c r="E126" s="99" t="str">
        <x:v>CLOSED (LOSS)</x:v>
      </x:c>
      <x:c r="F126" s="129" t="str">
        <x:v>4081.12</x:v>
      </x:c>
      <x:c r="G126" s="129" t="str">
        <x:v>0.00</x:v>
      </x:c>
      <x:c r="H126" s="129" t="str">
        <x:v>0.00</x:v>
      </x:c>
      <x:c r="I126" s="129" t="str">
        <x:v>0.00</x:v>
      </x:c>
      <x:c r="J126" s="129" t="str">
        <x:v>39.32</x:v>
      </x:c>
      <x:c r="K126" s="99" t="str">
        <x:v>Mobile</x:v>
      </x:c>
      <x:c r="L126" s="99" t="str">
        <x:v>LOSS</x:v>
      </x:c>
    </x:row>
    <x:row r="127">
      <x:c r="A127" s="99" t="str">
        <x:v>2026-06-11 07:56:03</x:v>
      </x:c>
      <x:c r="B127" s="99" t="str">
        <x:v>7453866</x:v>
      </x:c>
      <x:c r="C127" s="99" t="str">
        <x:v>XAUUSD-STD</x:v>
      </x:c>
      <x:c r="D127" s="99" t="str">
        <x:v>BUY</x:v>
      </x:c>
      <x:c r="E127" s="99" t="str">
        <x:v>CLOSED (WIN)</x:v>
      </x:c>
      <x:c r="F127" s="129" t="str">
        <x:v>4090.00</x:v>
      </x:c>
      <x:c r="G127" s="129" t="str">
        <x:v>0.00</x:v>
      </x:c>
      <x:c r="H127" s="129" t="str">
        <x:v>0.00</x:v>
      </x:c>
      <x:c r="I127" s="129" t="str">
        <x:v>1.23</x:v>
      </x:c>
      <x:c r="J127" s="129" t="str">
        <x:v>0.00</x:v>
      </x:c>
      <x:c r="K127" s="99" t="str">
        <x:v>Mobile</x:v>
      </x:c>
      <x:c r="L127" s="99" t="str">
        <x:v>WIN</x:v>
      </x:c>
    </x:row>
    <x:row r="128">
      <x:c r="A128" s="99" t="str">
        <x:v>2026-06-11 10:34:34</x:v>
      </x:c>
      <x:c r="B128" s="99" t="str">
        <x:v>7477205</x:v>
      </x:c>
      <x:c r="C128" s="99" t="str">
        <x:v>XAUUSD-STD</x:v>
      </x:c>
      <x:c r="D128" s="99" t="str">
        <x:v>BUY</x:v>
      </x:c>
      <x:c r="E128" s="99" t="str">
        <x:v>CLOSED (WIN)</x:v>
      </x:c>
      <x:c r="F128" s="129" t="str">
        <x:v>4085.77</x:v>
      </x:c>
      <x:c r="G128" s="129" t="str">
        <x:v>0.00</x:v>
      </x:c>
      <x:c r="H128" s="129" t="str">
        <x:v>0.00</x:v>
      </x:c>
      <x:c r="I128" s="129" t="str">
        <x:v>4.89</x:v>
      </x:c>
      <x:c r="J128" s="129" t="str">
        <x:v>0.00</x:v>
      </x:c>
      <x:c r="K128" s="99" t="str">
        <x:v>Mobile</x:v>
      </x:c>
      <x:c r="L128" s="99" t="str">
        <x:v>WIN</x:v>
      </x:c>
    </x:row>
    <x:row r="129">
      <x:c r="A129" s="99" t="str">
        <x:v>2026-06-11 10:51:50</x:v>
      </x:c>
      <x:c r="B129" s="99" t="str">
        <x:v>7477981</x:v>
      </x:c>
      <x:c r="C129" s="99" t="str">
        <x:v>XAUUSD-STD</x:v>
      </x:c>
      <x:c r="D129" s="99" t="str">
        <x:v>SELL</x:v>
      </x:c>
      <x:c r="E129" s="99" t="str">
        <x:v>CLOSED (WIN)</x:v>
      </x:c>
      <x:c r="F129" s="129" t="str">
        <x:v>4081.60</x:v>
      </x:c>
      <x:c r="G129" s="129" t="str">
        <x:v>0.00</x:v>
      </x:c>
      <x:c r="H129" s="129" t="str">
        <x:v>0.00</x:v>
      </x:c>
      <x:c r="I129" s="129" t="str">
        <x:v>2.72</x:v>
      </x:c>
      <x:c r="J129" s="129" t="str">
        <x:v>0.00</x:v>
      </x:c>
      <x:c r="K129" s="99" t="str">
        <x:v>Mobile</x:v>
      </x:c>
      <x:c r="L129" s="99" t="str">
        <x:v>WIN</x:v>
      </x:c>
    </x:row>
    <x:row r="130">
      <x:c r="A130" s="99" t="str">
        <x:v>2026-06-11 20:35:09</x:v>
      </x:c>
      <x:c r="B130" s="99" t="str">
        <x:v>7603300</x:v>
      </x:c>
      <x:c r="C130" s="99" t="str">
        <x:v>XAUUSD-STD</x:v>
      </x:c>
      <x:c r="D130" s="99" t="str">
        <x:v>SELL</x:v>
      </x:c>
      <x:c r="E130" s="99" t="str">
        <x:v>CLOSED (WIN)</x:v>
      </x:c>
      <x:c r="F130" s="129" t="str">
        <x:v>4183.35</x:v>
      </x:c>
      <x:c r="G130" s="129" t="str">
        <x:v>0.00</x:v>
      </x:c>
      <x:c r="H130" s="129" t="str">
        <x:v>0.00</x:v>
      </x:c>
      <x:c r="I130" s="129" t="str">
        <x:v>4.68</x:v>
      </x:c>
      <x:c r="J130" s="129" t="str">
        <x:v>0.00</x:v>
      </x:c>
      <x:c r="K130" s="99" t="str">
        <x:v>Mobile</x:v>
      </x:c>
      <x:c r="L130" s="99" t="str">
        <x:v>WIN</x:v>
      </x:c>
    </x:row>
    <x:row r="131">
      <x:c r="A131" s="99" t="str">
        <x:v>2026-06-11 20:37:59</x:v>
      </x:c>
      <x:c r="B131" s="99" t="str">
        <x:v>7603516</x:v>
      </x:c>
      <x:c r="C131" s="99" t="str">
        <x:v>XAUUSD-STD</x:v>
      </x:c>
      <x:c r="D131" s="99" t="str">
        <x:v>SELL</x:v>
      </x:c>
      <x:c r="E131" s="99" t="str">
        <x:v>CLOSED (LOSS)</x:v>
      </x:c>
      <x:c r="F131" s="129" t="str">
        <x:v>4189.01</x:v>
      </x:c>
      <x:c r="G131" s="129" t="str">
        <x:v>0.00</x:v>
      </x:c>
      <x:c r="H131" s="129" t="str">
        <x:v>0.00</x:v>
      </x:c>
      <x:c r="I131" s="129" t="str">
        <x:v>0.00</x:v>
      </x:c>
      <x:c r="J131" s="129" t="str">
        <x:v>8.60</x:v>
      </x:c>
      <x:c r="K131" s="99" t="str">
        <x:v>Mobile</x:v>
      </x:c>
      <x:c r="L131" s="99" t="str">
        <x:v>LOSS</x:v>
      </x:c>
    </x:row>
    <x:row r="132">
      <x:c r="A132" s="99" t="str">
        <x:v>2026-06-11 20:46:00</x:v>
      </x:c>
      <x:c r="B132" s="99" t="str">
        <x:v>7604032</x:v>
      </x:c>
      <x:c r="C132" s="99" t="str">
        <x:v>XAUUSD-STD</x:v>
      </x:c>
      <x:c r="D132" s="99" t="str">
        <x:v>SELL</x:v>
      </x:c>
      <x:c r="E132" s="99" t="str">
        <x:v>CLOSED (LOSS)</x:v>
      </x:c>
      <x:c r="F132" s="129" t="str">
        <x:v>4187.39</x:v>
      </x:c>
      <x:c r="G132" s="129" t="str">
        <x:v>0.00</x:v>
      </x:c>
      <x:c r="H132" s="129" t="str">
        <x:v>0.00</x:v>
      </x:c>
      <x:c r="I132" s="129" t="str">
        <x:v>0.00</x:v>
      </x:c>
      <x:c r="J132" s="129" t="str">
        <x:v>1.62</x:v>
      </x:c>
      <x:c r="K132" s="99" t="str">
        <x:v>Mobile</x:v>
      </x:c>
      <x:c r="L132" s="99" t="str">
        <x:v>LOSS</x:v>
      </x:c>
    </x:row>
    <x:row r="133">
      <x:c r="A133" s="99" t="str">
        <x:v>2026-06-11 20:49:50</x:v>
      </x:c>
      <x:c r="B133" s="99" t="str">
        <x:v>7604417</x:v>
      </x:c>
      <x:c r="C133" s="99" t="str">
        <x:v>XAUUSD-STD</x:v>
      </x:c>
      <x:c r="D133" s="99" t="str">
        <x:v>BUY</x:v>
      </x:c>
      <x:c r="E133" s="99" t="str">
        <x:v>CLOSED (WIN)</x:v>
      </x:c>
      <x:c r="F133" s="129" t="str">
        <x:v>4190.58</x:v>
      </x:c>
      <x:c r="G133" s="129" t="str">
        <x:v>0.00</x:v>
      </x:c>
      <x:c r="H133" s="129" t="str">
        <x:v>0.00</x:v>
      </x:c>
      <x:c r="I133" s="129" t="str">
        <x:v>7.97</x:v>
      </x:c>
      <x:c r="J133" s="129" t="str">
        <x:v>0.00</x:v>
      </x:c>
      <x:c r="K133" s="99" t="str">
        <x:v>Mobile</x:v>
      </x:c>
      <x:c r="L133" s="99" t="str">
        <x:v>WIN</x:v>
      </x:c>
    </x:row>
    <x:row r="134">
      <x:c r="A134" s="99" t="str">
        <x:v>2026-06-11 20:50:35</x:v>
      </x:c>
      <x:c r="B134" s="99" t="str">
        <x:v>7604355</x:v>
      </x:c>
      <x:c r="C134" s="99" t="str">
        <x:v>XAUUSD-STD</x:v>
      </x:c>
      <x:c r="D134" s="99" t="str">
        <x:v>BUY</x:v>
      </x:c>
      <x:c r="E134" s="99" t="str">
        <x:v>CLOSED (WIN)</x:v>
      </x:c>
      <x:c r="F134" s="129" t="str">
        <x:v>4191.29</x:v>
      </x:c>
      <x:c r="G134" s="129" t="str">
        <x:v>0.00</x:v>
      </x:c>
      <x:c r="H134" s="129" t="str">
        <x:v>0.00</x:v>
      </x:c>
      <x:c r="I134" s="129" t="str">
        <x:v>5.38</x:v>
      </x:c>
      <x:c r="J134" s="129" t="str">
        <x:v>0.00</x:v>
      </x:c>
      <x:c r="K134" s="99" t="str">
        <x:v>Mobile</x:v>
      </x:c>
      <x:c r="L134" s="99" t="str">
        <x:v>WIN</x:v>
      </x:c>
    </x:row>
    <x:row r="135">
      <x:c r="A135" s="99" t="str">
        <x:v>2026-06-11 21:01:26</x:v>
      </x:c>
      <x:c r="B135" s="99" t="str">
        <x:v>7604769</x:v>
      </x:c>
      <x:c r="C135" s="99" t="str">
        <x:v>XAUUSD-STD</x:v>
      </x:c>
      <x:c r="D135" s="99" t="str">
        <x:v>BUY</x:v>
      </x:c>
      <x:c r="E135" s="99" t="str">
        <x:v>CLOSED (WIN)</x:v>
      </x:c>
      <x:c r="F135" s="129" t="str">
        <x:v>4193.94</x:v>
      </x:c>
      <x:c r="G135" s="129" t="str">
        <x:v>0.00</x:v>
      </x:c>
      <x:c r="H135" s="129" t="str">
        <x:v>0.00</x:v>
      </x:c>
      <x:c r="I135" s="129" t="str">
        <x:v>5.06</x:v>
      </x:c>
      <x:c r="J135" s="129" t="str">
        <x:v>0.00</x:v>
      </x:c>
      <x:c r="K135" s="99" t="str">
        <x:v>Mobile</x:v>
      </x:c>
      <x:c r="L135" s="99" t="str">
        <x:v>WIN</x:v>
      </x:c>
    </x:row>
    <x:row r="136">
      <x:c r="A136" s="99" t="str">
        <x:v>2026-06-11 21:17:08</x:v>
      </x:c>
      <x:c r="B136" s="99" t="str">
        <x:v>7605376</x:v>
      </x:c>
      <x:c r="C136" s="99" t="str">
        <x:v>XAUUSD-STD</x:v>
      </x:c>
      <x:c r="D136" s="99" t="str">
        <x:v>BUY</x:v>
      </x:c>
      <x:c r="E136" s="99" t="str">
        <x:v>CLOSED (WIN)</x:v>
      </x:c>
      <x:c r="F136" s="129" t="str">
        <x:v>4198.98</x:v>
      </x:c>
      <x:c r="G136" s="129" t="str">
        <x:v>0.00</x:v>
      </x:c>
      <x:c r="H136" s="129" t="str">
        <x:v>0.00</x:v>
      </x:c>
      <x:c r="I136" s="129" t="str">
        <x:v>4.91</x:v>
      </x:c>
      <x:c r="J136" s="129" t="str">
        <x:v>0.00</x:v>
      </x:c>
      <x:c r="K136" s="99" t="str">
        <x:v>Mobile</x:v>
      </x:c>
      <x:c r="L136" s="99" t="str">
        <x:v>WIN</x:v>
      </x:c>
    </x:row>
    <x:row r="137">
      <x:c r="A137" s="99" t="str">
        <x:v>2026-06-11 22:27:05</x:v>
      </x:c>
      <x:c r="B137" s="99" t="str">
        <x:v>7611137</x:v>
      </x:c>
      <x:c r="C137" s="99" t="str">
        <x:v>XAUUSD-STD</x:v>
      </x:c>
      <x:c r="D137" s="99" t="str">
        <x:v>BUY</x:v>
      </x:c>
      <x:c r="E137" s="99" t="str">
        <x:v>CLOSED (WIN)</x:v>
      </x:c>
      <x:c r="F137" s="129" t="str">
        <x:v>4193.06</x:v>
      </x:c>
      <x:c r="G137" s="129" t="str">
        <x:v>0.00</x:v>
      </x:c>
      <x:c r="H137" s="129" t="str">
        <x:v>0.00</x:v>
      </x:c>
      <x:c r="I137" s="129" t="str">
        <x:v>1.08</x:v>
      </x:c>
      <x:c r="J137" s="129" t="str">
        <x:v>0.00</x:v>
      </x:c>
      <x:c r="K137" s="99" t="str">
        <x:v>Mobile</x:v>
      </x:c>
      <x:c r="L137" s="99" t="str">
        <x:v>WIN</x:v>
      </x:c>
    </x:row>
    <x:row r="138">
      <x:c r="A138" s="99" t="str">
        <x:v>2026-06-11 22:31:50</x:v>
      </x:c>
      <x:c r="B138" s="99" t="str">
        <x:v>7611426</x:v>
      </x:c>
      <x:c r="C138" s="99" t="str">
        <x:v>XAUUSD-STD</x:v>
      </x:c>
      <x:c r="D138" s="99" t="str">
        <x:v>SELL</x:v>
      </x:c>
      <x:c r="E138" s="99" t="str">
        <x:v>CLOSED (LOSS)</x:v>
      </x:c>
      <x:c r="F138" s="129" t="str">
        <x:v>4195.00</x:v>
      </x:c>
      <x:c r="G138" s="129" t="str">
        <x:v>0.00</x:v>
      </x:c>
      <x:c r="H138" s="129" t="str">
        <x:v>0.00</x:v>
      </x:c>
      <x:c r="I138" s="129" t="str">
        <x:v>0.00</x:v>
      </x:c>
      <x:c r="J138" s="129" t="str">
        <x:v>3.13</x:v>
      </x:c>
      <x:c r="K138" s="99" t="str">
        <x:v>Mobile</x:v>
      </x:c>
      <x:c r="L138" s="99" t="str">
        <x:v>LOSS</x:v>
      </x:c>
    </x:row>
    <x:row r="139">
      <x:c r="A139" s="99" t="str">
        <x:v>2026-06-11 22:47:02</x:v>
      </x:c>
      <x:c r="B139" s="99" t="str">
        <x:v>7611719</x:v>
      </x:c>
      <x:c r="C139" s="99" t="str">
        <x:v>XAUUSD-STD</x:v>
      </x:c>
      <x:c r="D139" s="99" t="str">
        <x:v>BUY</x:v>
      </x:c>
      <x:c r="E139" s="99" t="str">
        <x:v>CLOSED (LOSS)</x:v>
      </x:c>
      <x:c r="F139" s="129" t="str">
        <x:v>4191.36</x:v>
      </x:c>
      <x:c r="G139" s="129" t="str">
        <x:v>0.00</x:v>
      </x:c>
      <x:c r="H139" s="129" t="str">
        <x:v>0.00</x:v>
      </x:c>
      <x:c r="I139" s="129" t="str">
        <x:v>0.00</x:v>
      </x:c>
      <x:c r="J139" s="129" t="str">
        <x:v>8.03</x:v>
      </x:c>
      <x:c r="K139" s="99" t="str">
        <x:v>Mobile</x:v>
      </x:c>
      <x:c r="L139" s="99" t="str">
        <x:v>LOSS</x:v>
      </x:c>
    </x:row>
    <x:row r="140">
      <x:c r="A140" s="99" t="str">
        <x:v>2026-06-11 23:34:26</x:v>
      </x:c>
      <x:c r="B140" s="99" t="str">
        <x:v>7614577</x:v>
      </x:c>
      <x:c r="C140" s="99" t="str">
        <x:v>XAUUSD-STD</x:v>
      </x:c>
      <x:c r="D140" s="99" t="str">
        <x:v>SELL</x:v>
      </x:c>
      <x:c r="E140" s="99" t="str">
        <x:v>CLOSED (WIN)</x:v>
      </x:c>
      <x:c r="F140" s="129" t="str">
        <x:v>4179.65</x:v>
      </x:c>
      <x:c r="G140" s="129" t="str">
        <x:v>0.00</x:v>
      </x:c>
      <x:c r="H140" s="129" t="str">
        <x:v>0.00</x:v>
      </x:c>
      <x:c r="I140" s="129" t="str">
        <x:v>5.98</x:v>
      </x:c>
      <x:c r="J140" s="129" t="str">
        <x:v>0.00</x:v>
      </x:c>
      <x:c r="K140" s="99" t="str">
        <x:v>Mobile</x:v>
      </x:c>
      <x:c r="L140" s="99" t="str">
        <x:v>WIN</x:v>
      </x:c>
    </x:row>
    <x:row r="141">
      <x:c r="A141" s="99" t="str">
        <x:v>2026-06-11 23:55:48</x:v>
      </x:c>
      <x:c r="B141" s="99" t="str">
        <x:v>7615002</x:v>
      </x:c>
      <x:c r="C141" s="99" t="str">
        <x:v>XAUUSD-STD</x:v>
      </x:c>
      <x:c r="D141" s="99" t="str">
        <x:v>SELL</x:v>
      </x:c>
      <x:c r="E141" s="99" t="str">
        <x:v>CLOSED (WIN)</x:v>
      </x:c>
      <x:c r="F141" s="129" t="str">
        <x:v>4175.32</x:v>
      </x:c>
      <x:c r="G141" s="129" t="str">
        <x:v>0.00</x:v>
      </x:c>
      <x:c r="H141" s="129" t="str">
        <x:v>0.00</x:v>
      </x:c>
      <x:c r="I141" s="129" t="str">
        <x:v>6.35</x:v>
      </x:c>
      <x:c r="J141" s="129" t="str">
        <x:v>0.00</x:v>
      </x:c>
      <x:c r="K141" s="99" t="str">
        <x:v>Mobile</x:v>
      </x:c>
      <x:c r="L141" s="99" t="str">
        <x:v>WIN</x:v>
      </x:c>
    </x:row>
    <x:row r="142">
      <x:c r="A142" s="99" t="str">
        <x:v>2026-06-12 00:02:49</x:v>
      </x:c>
      <x:c r="B142" s="99" t="str">
        <x:v>7616252</x:v>
      </x:c>
      <x:c r="C142" s="99" t="str">
        <x:v>XAUUSD-STD</x:v>
      </x:c>
      <x:c r="D142" s="99" t="str">
        <x:v>SELL</x:v>
      </x:c>
      <x:c r="E142" s="99" t="str">
        <x:v>CLOSED (LOSS)</x:v>
      </x:c>
      <x:c r="F142" s="129" t="str">
        <x:v>4181.83</x:v>
      </x:c>
      <x:c r="G142" s="129" t="str">
        <x:v>0.00</x:v>
      </x:c>
      <x:c r="H142" s="129" t="str">
        <x:v>0.00</x:v>
      </x:c>
      <x:c r="I142" s="129" t="str">
        <x:v>0.00</x:v>
      </x:c>
      <x:c r="J142" s="129" t="str">
        <x:v>18.79</x:v>
      </x:c>
      <x:c r="K142" s="99" t="str">
        <x:v>Mobile</x:v>
      </x:c>
      <x:c r="L142" s="99" t="str">
        <x:v>LOSS</x:v>
      </x:c>
    </x:row>
    <x:row r="143">
      <x:c r="A143" s="99" t="str">
        <x:v>2026-06-12 00:41:53</x:v>
      </x:c>
      <x:c r="B143" s="99" t="str">
        <x:v>7618232</x:v>
      </x:c>
      <x:c r="C143" s="99" t="str">
        <x:v>XAUUSD-STD</x:v>
      </x:c>
      <x:c r="D143" s="99" t="str">
        <x:v>BUY</x:v>
      </x:c>
      <x:c r="E143" s="99" t="str">
        <x:v>CLOSED (WIN)</x:v>
      </x:c>
      <x:c r="F143" s="129" t="str">
        <x:v>4178.00</x:v>
      </x:c>
      <x:c r="G143" s="129" t="str">
        <x:v>4166.00</x:v>
      </x:c>
      <x:c r="H143" s="129" t="str">
        <x:v>4178.00</x:v>
      </x:c>
      <x:c r="I143" s="129" t="str">
        <x:v>3.45</x:v>
      </x:c>
      <x:c r="J143" s="129" t="str">
        <x:v>0.00</x:v>
      </x:c>
      <x:c r="K143" s="99" t="str">
        <x:v>JACKY GOLD PR</x:v>
      </x:c>
      <x:c r="L143" s="99" t="str">
        <x:v>WIN</x:v>
      </x:c>
    </x:row>
    <x:row r="144">
      <x:c r="A144" s="99" t="str">
        <x:v>2026-06-12 00:58:35</x:v>
      </x:c>
      <x:c r="B144" s="99" t="str">
        <x:v>7618783</x:v>
      </x:c>
      <x:c r="C144" s="99" t="str">
        <x:v>XAUUSD-STD</x:v>
      </x:c>
      <x:c r="D144" s="99" t="str">
        <x:v>BUY</x:v>
      </x:c>
      <x:c r="E144" s="99" t="str">
        <x:v>CLOSED (WIN)</x:v>
      </x:c>
      <x:c r="F144" s="129" t="str">
        <x:v>4181.23</x:v>
      </x:c>
      <x:c r="G144" s="129" t="str">
        <x:v>0.00</x:v>
      </x:c>
      <x:c r="H144" s="129" t="str">
        <x:v>0.00</x:v>
      </x:c>
      <x:c r="I144" s="129" t="str">
        <x:v>6.88</x:v>
      </x:c>
      <x:c r="J144" s="129" t="str">
        <x:v>0.00</x:v>
      </x:c>
      <x:c r="K144" s="99" t="str">
        <x:v>Mobile</x:v>
      </x:c>
      <x:c r="L144" s="99" t="str">
        <x:v>WIN</x:v>
      </x:c>
    </x:row>
    <x:row r="145">
      <x:c r="A145" s="99" t="str">
        <x:v>2026-06-12 04:46:31</x:v>
      </x:c>
      <x:c r="B145" s="99" t="str">
        <x:v>7623226</x:v>
      </x:c>
      <x:c r="C145" s="99" t="str">
        <x:v>XAUUSD-STD</x:v>
      </x:c>
      <x:c r="D145" s="99" t="str">
        <x:v>BUY</x:v>
      </x:c>
      <x:c r="E145" s="99" t="str">
        <x:v>CLOSED (WIN)</x:v>
      </x:c>
      <x:c r="F145" s="129" t="str">
        <x:v>4217.02</x:v>
      </x:c>
      <x:c r="G145" s="129" t="str">
        <x:v>0.00</x:v>
      </x:c>
      <x:c r="H145" s="129" t="str">
        <x:v>0.00</x:v>
      </x:c>
      <x:c r="I145" s="129" t="str">
        <x:v>4.47</x:v>
      </x:c>
      <x:c r="J145" s="129" t="str">
        <x:v>0.00</x:v>
      </x:c>
      <x:c r="K145" s="99" t="str">
        <x:v>Mobile</x:v>
      </x:c>
      <x:c r="L145" s="99" t="str">
        <x:v>WIN</x:v>
      </x:c>
    </x:row>
    <x:row r="146">
      <x:c r="A146" s="99" t="str">
        <x:v>2026-06-12 04:46:31</x:v>
      </x:c>
      <x:c r="B146" s="99" t="str">
        <x:v>7623343</x:v>
      </x:c>
      <x:c r="C146" s="99" t="str">
        <x:v>XAUUSD-STD</x:v>
      </x:c>
      <x:c r="D146" s="99" t="str">
        <x:v>BUY</x:v>
      </x:c>
      <x:c r="E146" s="99" t="str">
        <x:v>CLOSED (LOSS)</x:v>
      </x:c>
      <x:c r="F146" s="129" t="str">
        <x:v>4215.96</x:v>
      </x:c>
      <x:c r="G146" s="129" t="str">
        <x:v>0.00</x:v>
      </x:c>
      <x:c r="H146" s="129" t="str">
        <x:v>0.00</x:v>
      </x:c>
      <x:c r="I146" s="129" t="str">
        <x:v>0.00</x:v>
      </x:c>
      <x:c r="J146" s="129" t="str">
        <x:v>8.19</x:v>
      </x:c>
      <x:c r="K146" s="99" t="str">
        <x:v>Mobile</x:v>
      </x:c>
      <x:c r="L146" s="99" t="str">
        <x:v>LOSS</x:v>
      </x:c>
    </x:row>
    <x:row r="147">
      <x:c r="A147" s="99" t="str">
        <x:v>2026-06-12 04:46:31</x:v>
      </x:c>
      <x:c r="B147" s="99" t="str">
        <x:v>7623546</x:v>
      </x:c>
      <x:c r="C147" s="99" t="str">
        <x:v>XAUUSD-STD</x:v>
      </x:c>
      <x:c r="D147" s="99" t="str">
        <x:v>BUY</x:v>
      </x:c>
      <x:c r="E147" s="99" t="str">
        <x:v>CLOSED (LOSS)</x:v>
      </x:c>
      <x:c r="F147" s="129" t="str">
        <x:v>4214.96</x:v>
      </x:c>
      <x:c r="G147" s="129" t="str">
        <x:v>0.00</x:v>
      </x:c>
      <x:c r="H147" s="129" t="str">
        <x:v>0.00</x:v>
      </x:c>
      <x:c r="I147" s="129" t="str">
        <x:v>0.00</x:v>
      </x:c>
      <x:c r="J147" s="129" t="str">
        <x:v>14.15</x:v>
      </x:c>
      <x:c r="K147" s="99" t="str">
        <x:v>Mobile</x:v>
      </x:c>
      <x:c r="L147" s="99" t="str">
        <x:v>LOSS</x:v>
      </x:c>
    </x:row>
    <x:row r="148">
      <x:c r="A148" s="99" t="str">
        <x:v>2026-06-12 04:46:31</x:v>
      </x:c>
      <x:c r="B148" s="99" t="str">
        <x:v>7623676</x:v>
      </x:c>
      <x:c r="C148" s="99" t="str">
        <x:v>XAUUSD-STD</x:v>
      </x:c>
      <x:c r="D148" s="99" t="str">
        <x:v>BUY</x:v>
      </x:c>
      <x:c r="E148" s="99" t="str">
        <x:v>CLOSED (WIN)</x:v>
      </x:c>
      <x:c r="F148" s="129" t="str">
        <x:v>4218.65</x:v>
      </x:c>
      <x:c r="G148" s="129" t="str">
        <x:v>0.00</x:v>
      </x:c>
      <x:c r="H148" s="129" t="str">
        <x:v>0.00</x:v>
      </x:c>
      <x:c r="I148" s="129" t="str">
        <x:v>15.57</x:v>
      </x:c>
      <x:c r="J148" s="129" t="str">
        <x:v>0.00</x:v>
      </x:c>
      <x:c r="K148" s="99" t="str">
        <x:v>Mobile</x:v>
      </x:c>
      <x:c r="L148" s="99" t="str">
        <x:v>WIN</x:v>
      </x:c>
    </x:row>
    <x:row r="149">
      <x:c r="A149" s="99" t="str">
        <x:v>2026-06-12 04:46:31</x:v>
      </x:c>
      <x:c r="B149" s="99" t="str">
        <x:v>7623789</x:v>
      </x:c>
      <x:c r="C149" s="99" t="str">
        <x:v>XAUUSD-STD</x:v>
      </x:c>
      <x:c r="D149" s="99" t="str">
        <x:v>BUY</x:v>
      </x:c>
      <x:c r="E149" s="99" t="str">
        <x:v>CLOSED (WIN)</x:v>
      </x:c>
      <x:c r="F149" s="129" t="str">
        <x:v>4223.32</x:v>
      </x:c>
      <x:c r="G149" s="129" t="str">
        <x:v>0.00</x:v>
      </x:c>
      <x:c r="H149" s="129" t="str">
        <x:v>0.00</x:v>
      </x:c>
      <x:c r="I149" s="129" t="str">
        <x:v>12.67</x:v>
      </x:c>
      <x:c r="J149" s="129" t="str">
        <x:v>0.00</x:v>
      </x:c>
      <x:c r="K149" s="99" t="str">
        <x:v>Mobile</x:v>
      </x:c>
      <x:c r="L149" s="99" t="str">
        <x:v>WIN</x:v>
      </x:c>
    </x:row>
    <x:row r="150">
      <x:c r="A150" s="99" t="str">
        <x:v>2026-06-12 04:46:31</x:v>
      </x:c>
      <x:c r="B150" s="99" t="str">
        <x:v>7626362</x:v>
      </x:c>
      <x:c r="C150" s="99" t="str">
        <x:v>XAUUSD-STD</x:v>
      </x:c>
      <x:c r="D150" s="99" t="str">
        <x:v>BUY</x:v>
      </x:c>
      <x:c r="E150" s="99" t="str">
        <x:v>CLOSED (LOSS)</x:v>
      </x:c>
      <x:c r="F150" s="129" t="str">
        <x:v>4220.00</x:v>
      </x:c>
      <x:c r="G150" s="129" t="str">
        <x:v>4220.00</x:v>
      </x:c>
      <x:c r="H150" s="129" t="str">
        <x:v>4228.00</x:v>
      </x:c>
      <x:c r="I150" s="129" t="str">
        <x:v>0.00</x:v>
      </x:c>
      <x:c r="J150" s="129" t="str">
        <x:v>2.80</x:v>
      </x:c>
      <x:c r="K150" s="99" t="str">
        <x:v>Mobile</x:v>
      </x:c>
      <x:c r="L150" s="99" t="str">
        <x:v>LOSS</x:v>
      </x:c>
    </x:row>
    <x:row r="151">
      <x:c r="A151" s="99" t="str">
        <x:v>2026-06-12 04:46:31</x:v>
      </x:c>
      <x:c r="B151" s="99" t="str">
        <x:v>7627441</x:v>
      </x:c>
      <x:c r="C151" s="99" t="str">
        <x:v>XAUUSD-STD</x:v>
      </x:c>
      <x:c r="D151" s="99" t="str">
        <x:v>BUY</x:v>
      </x:c>
      <x:c r="E151" s="99" t="str">
        <x:v>CLOSED (LOSS)</x:v>
      </x:c>
      <x:c r="F151" s="129" t="str">
        <x:v>4211.61</x:v>
      </x:c>
      <x:c r="G151" s="129" t="str">
        <x:v>0.00</x:v>
      </x:c>
      <x:c r="H151" s="129" t="str">
        <x:v>0.00</x:v>
      </x:c>
      <x:c r="I151" s="129" t="str">
        <x:v>0.00</x:v>
      </x:c>
      <x:c r="J151" s="129" t="str">
        <x:v>11.73</x:v>
      </x:c>
      <x:c r="K151" s="99" t="str">
        <x:v>Mobile</x:v>
      </x:c>
      <x:c r="L151" s="99" t="str">
        <x:v>LOSS</x:v>
      </x:c>
    </x:row>
    <x:row r="152">
      <x:c r="A152" s="99" t="str">
        <x:v>2026-06-12 05:12:58</x:v>
      </x:c>
      <x:c r="B152" s="99" t="str">
        <x:v>7630255</x:v>
      </x:c>
      <x:c r="C152" s="99" t="str">
        <x:v>XAUUSD-STD</x:v>
      </x:c>
      <x:c r="D152" s="99" t="str">
        <x:v>BUY</x:v>
      </x:c>
      <x:c r="E152" s="99" t="str">
        <x:v>CLOSED (WIN)</x:v>
      </x:c>
      <x:c r="F152" s="129" t="str">
        <x:v>4206.50</x:v>
      </x:c>
      <x:c r="G152" s="129" t="str">
        <x:v>4196.00</x:v>
      </x:c>
      <x:c r="H152" s="129" t="str">
        <x:v>4208.00</x:v>
      </x:c>
      <x:c r="I152" s="129" t="str">
        <x:v>0.70</x:v>
      </x:c>
      <x:c r="J152" s="129" t="str">
        <x:v>0.00</x:v>
      </x:c>
      <x:c r="K152" s="99" t="str">
        <x:v>JACKY GOLD PR</x:v>
      </x:c>
      <x:c r="L152" s="99" t="str">
        <x:v>WIN</x:v>
      </x:c>
    </x:row>
    <x:row r="153">
      <x:c r="A153" s="99" t="str">
        <x:v>2026-06-12 06:32:28</x:v>
      </x:c>
      <x:c r="B153" s="99" t="str">
        <x:v>7633844</x:v>
      </x:c>
      <x:c r="C153" s="99" t="str">
        <x:v>XAUUSD-STD</x:v>
      </x:c>
      <x:c r="D153" s="99" t="str">
        <x:v>SELL</x:v>
      </x:c>
      <x:c r="E153" s="99" t="str">
        <x:v>CLOSED (WIN)</x:v>
      </x:c>
      <x:c r="F153" s="129" t="str">
        <x:v>4201.79</x:v>
      </x:c>
      <x:c r="G153" s="129" t="str">
        <x:v>4215.00</x:v>
      </x:c>
      <x:c r="H153" s="129" t="str">
        <x:v>4202.00</x:v>
      </x:c>
      <x:c r="I153" s="129" t="str">
        <x:v>4.49</x:v>
      </x:c>
      <x:c r="J153" s="129" t="str">
        <x:v>0.00</x:v>
      </x:c>
      <x:c r="K153" s="99" t="str">
        <x:v>GOLD SCALPING</x:v>
      </x:c>
      <x:c r="L153" s="99" t="str">
        <x:v>WIN</x:v>
      </x:c>
    </x:row>
    <x:row r="154">
      <x:c r="A154" s="99" t="str">
        <x:v>2026-06-12 07:08:32</x:v>
      </x:c>
      <x:c r="B154" s="99" t="str">
        <x:v>7634531</x:v>
      </x:c>
      <x:c r="C154" s="99" t="str">
        <x:v>XAUUSD-STD</x:v>
      </x:c>
      <x:c r="D154" s="99" t="str">
        <x:v>BUY</x:v>
      </x:c>
      <x:c r="E154" s="99" t="str">
        <x:v>CLOSED (WIN)</x:v>
      </x:c>
      <x:c r="F154" s="129" t="str">
        <x:v>4199.90</x:v>
      </x:c>
      <x:c r="G154" s="129" t="str">
        <x:v>4181.00</x:v>
      </x:c>
      <x:c r="H154" s="129" t="str">
        <x:v>4203.00</x:v>
      </x:c>
      <x:c r="I154" s="129" t="str">
        <x:v>5.02</x:v>
      </x:c>
      <x:c r="J154" s="129" t="str">
        <x:v>0.00</x:v>
      </x:c>
      <x:c r="K154" s="99" t="str">
        <x:v>GOLD SCALPER</x:v>
      </x:c>
      <x:c r="L154" s="99" t="str">
        <x:v>WIN</x:v>
      </x:c>
    </x:row>
    <x:row r="155">
      <x:c r="A155" s="99" t="str">
        <x:v>2026-06-12 07:36:10</x:v>
      </x:c>
      <x:c r="B155" s="99" t="str">
        <x:v>7641211</x:v>
      </x:c>
      <x:c r="C155" s="99" t="str">
        <x:v>XAUUSD-STD</x:v>
      </x:c>
      <x:c r="D155" s="99" t="str">
        <x:v>BUY</x:v>
      </x:c>
      <x:c r="E155" s="99" t="str">
        <x:v>CLOSED (WIN)</x:v>
      </x:c>
      <x:c r="F155" s="129" t="str">
        <x:v>4204.04</x:v>
      </x:c>
      <x:c r="G155" s="129" t="str">
        <x:v>0.00</x:v>
      </x:c>
      <x:c r="H155" s="129" t="str">
        <x:v>0.00</x:v>
      </x:c>
      <x:c r="I155" s="129" t="str">
        <x:v>8.75</x:v>
      </x:c>
      <x:c r="J155" s="129" t="str">
        <x:v>0.00</x:v>
      </x:c>
      <x:c r="K155" s="99" t="str">
        <x:v>Mobile</x:v>
      </x:c>
      <x:c r="L155" s="99" t="str">
        <x:v>WIN</x:v>
      </x:c>
    </x:row>
    <x:row r="156">
      <x:c r="A156" s="99" t="str">
        <x:v>2026-06-12 07:45:21</x:v>
      </x:c>
      <x:c r="B156" s="99" t="str">
        <x:v>7643965</x:v>
      </x:c>
      <x:c r="C156" s="99" t="str">
        <x:v>XAUUSD-STD</x:v>
      </x:c>
      <x:c r="D156" s="99" t="str">
        <x:v>BUY</x:v>
      </x:c>
      <x:c r="E156" s="99" t="str">
        <x:v>CLOSED (WIN)</x:v>
      </x:c>
      <x:c r="F156" s="129" t="str">
        <x:v>4190.90</x:v>
      </x:c>
      <x:c r="G156" s="129" t="str">
        <x:v>0.00</x:v>
      </x:c>
      <x:c r="H156" s="129" t="str">
        <x:v>0.00</x:v>
      </x:c>
      <x:c r="I156" s="129" t="str">
        <x:v>3.72</x:v>
      </x:c>
      <x:c r="J156" s="129" t="str">
        <x:v>0.00</x:v>
      </x:c>
      <x:c r="K156" s="99" t="str">
        <x:v>Mobile</x:v>
      </x:c>
      <x:c r="L156" s="99" t="str">
        <x:v>WIN</x:v>
      </x:c>
    </x:row>
    <x:row r="157">
      <x:c r="A157" s="99" t="str">
        <x:v>2026-06-12 07:48:11</x:v>
      </x:c>
      <x:c r="B157" s="99" t="str">
        <x:v>7644309</x:v>
      </x:c>
      <x:c r="C157" s="99" t="str">
        <x:v>XAUUSD-STD</x:v>
      </x:c>
      <x:c r="D157" s="99" t="str">
        <x:v>BUY</x:v>
      </x:c>
      <x:c r="E157" s="99" t="str">
        <x:v>CLOSED (LOSS)</x:v>
      </x:c>
      <x:c r="F157" s="129" t="str">
        <x:v>4184.16</x:v>
      </x:c>
      <x:c r="G157" s="129" t="str">
        <x:v>0.00</x:v>
      </x:c>
      <x:c r="H157" s="129" t="str">
        <x:v>0.00</x:v>
      </x:c>
      <x:c r="I157" s="129" t="str">
        <x:v>0.00</x:v>
      </x:c>
      <x:c r="J157" s="129" t="str">
        <x:v>12.53</x:v>
      </x:c>
      <x:c r="K157" s="99" t="str">
        <x:v>Mobile</x:v>
      </x:c>
      <x:c r="L157" s="99" t="str">
        <x:v>LOSS</x:v>
      </x:c>
    </x:row>
    <x:row r="158">
      <x:c r="A158" s="99" t="str">
        <x:v>2026-06-12 08:24:50</x:v>
      </x:c>
      <x:c r="B158" s="99" t="str">
        <x:v>7647377</x:v>
      </x:c>
      <x:c r="C158" s="99" t="str">
        <x:v>XAUUSD-STD</x:v>
      </x:c>
      <x:c r="D158" s="99" t="str">
        <x:v>BUY</x:v>
      </x:c>
      <x:c r="E158" s="99" t="str">
        <x:v>CLOSED (WIN)</x:v>
      </x:c>
      <x:c r="F158" s="129" t="str">
        <x:v>4188.00</x:v>
      </x:c>
      <x:c r="G158" s="129" t="str">
        <x:v>4173.00</x:v>
      </x:c>
      <x:c r="H158" s="129" t="str">
        <x:v>4188.00</x:v>
      </x:c>
      <x:c r="I158" s="129" t="str">
        <x:v>3.61</x:v>
      </x:c>
      <x:c r="J158" s="129" t="str">
        <x:v>0.00</x:v>
      </x:c>
      <x:c r="K158" s="99" t="str">
        <x:v>FX_Gold Tradi</x:v>
      </x:c>
      <x:c r="L158" s="99" t="str">
        <x:v>WIN</x:v>
      </x:c>
    </x:row>
    <x:row r="159">
      <x:c r="A159" s="99" t="str">
        <x:v>2026-06-12 12:17:13</x:v>
      </x:c>
      <x:c r="B159" s="99" t="str">
        <x:v>7669965</x:v>
      </x:c>
      <x:c r="C159" s="99" t="str">
        <x:v>XAUUSD-STD</x:v>
      </x:c>
      <x:c r="D159" s="99" t="str">
        <x:v>SELL</x:v>
      </x:c>
      <x:c r="E159" s="99" t="str">
        <x:v>CLOSED (LOSS)</x:v>
      </x:c>
      <x:c r="F159" s="129" t="str">
        <x:v>4228.05</x:v>
      </x:c>
      <x:c r="G159" s="129" t="str">
        <x:v>0.00</x:v>
      </x:c>
      <x:c r="H159" s="129" t="str">
        <x:v>0.00</x:v>
      </x:c>
      <x:c r="I159" s="129" t="str">
        <x:v>0.00</x:v>
      </x:c>
      <x:c r="J159" s="129" t="str">
        <x:v>2.87</x:v>
      </x:c>
      <x:c r="K159" s="99" t="str">
        <x:v>Mobile</x:v>
      </x:c>
      <x:c r="L159" s="99" t="str">
        <x:v>LOSS</x:v>
      </x:c>
    </x:row>
    <x:row r="160">
      <x:c r="A160" s="99" t="str">
        <x:v>2026-06-14 18:28:05</x:v>
      </x:c>
      <x:c r="B160" s="99" t="str">
        <x:v>7712711</x:v>
      </x:c>
      <x:c r="C160" s="99" t="str">
        <x:v>XAUUSD-STD</x:v>
      </x:c>
      <x:c r="D160" s="99" t="str">
        <x:v>SELL</x:v>
      </x:c>
      <x:c r="E160" s="99" t="str">
        <x:v>CLOSED (WIN)</x:v>
      </x:c>
      <x:c r="F160" s="129" t="str">
        <x:v>4304.81</x:v>
      </x:c>
      <x:c r="G160" s="129" t="str">
        <x:v>0.00</x:v>
      </x:c>
      <x:c r="H160" s="129" t="str">
        <x:v>0.00</x:v>
      </x:c>
      <x:c r="I160" s="129" t="str">
        <x:v>6.45</x:v>
      </x:c>
      <x:c r="J160" s="129" t="str">
        <x:v>0.00</x:v>
      </x:c>
      <x:c r="K160" s="99" t="str">
        <x:v>Mobile</x:v>
      </x:c>
      <x:c r="L160" s="99" t="str">
        <x:v>WIN</x:v>
      </x:c>
    </x:row>
    <x:row r="161">
      <x:c r="A161" s="99" t="str">
        <x:v>2026-06-14 18:30:10</x:v>
      </x:c>
      <x:c r="B161" s="99" t="str">
        <x:v>7713041</x:v>
      </x:c>
      <x:c r="C161" s="99" t="str">
        <x:v>XAUUSD-STD</x:v>
      </x:c>
      <x:c r="D161" s="99" t="str">
        <x:v>SELL</x:v>
      </x:c>
      <x:c r="E161" s="99" t="str">
        <x:v>CLOSED (WIN)</x:v>
      </x:c>
      <x:c r="F161" s="129" t="str">
        <x:v>4301.00</x:v>
      </x:c>
      <x:c r="G161" s="129" t="str">
        <x:v>0.00</x:v>
      </x:c>
      <x:c r="H161" s="129" t="str">
        <x:v>0.00</x:v>
      </x:c>
      <x:c r="I161" s="129" t="str">
        <x:v>5.50</x:v>
      </x:c>
      <x:c r="J161" s="129" t="str">
        <x:v>0.00</x:v>
      </x:c>
      <x:c r="K161" s="99" t="str">
        <x:v>Mobile</x:v>
      </x:c>
      <x:c r="L161" s="99" t="str">
        <x:v>WIN</x:v>
      </x:c>
    </x:row>
    <x:row r="162">
      <x:c r="A162" s="99" t="str">
        <x:v>2026-06-14 18:45:42</x:v>
      </x:c>
      <x:c r="B162" s="99" t="str">
        <x:v>7715318</x:v>
      </x:c>
      <x:c r="C162" s="99" t="str">
        <x:v>XAUUSD-STD</x:v>
      </x:c>
      <x:c r="D162" s="99" t="str">
        <x:v>BUY</x:v>
      </x:c>
      <x:c r="E162" s="99" t="str">
        <x:v>CLOSED (WIN)</x:v>
      </x:c>
      <x:c r="F162" s="129" t="str">
        <x:v>4297.86</x:v>
      </x:c>
      <x:c r="G162" s="129" t="str">
        <x:v>0.00</x:v>
      </x:c>
      <x:c r="H162" s="129" t="str">
        <x:v>0.00</x:v>
      </x:c>
      <x:c r="I162" s="129" t="str">
        <x:v>0.10</x:v>
      </x:c>
      <x:c r="J162" s="129" t="str">
        <x:v>0.00</x:v>
      </x:c>
      <x:c r="K162" s="99" t="str">
        <x:v>Mobile</x:v>
      </x:c>
      <x:c r="L162" s="99" t="str">
        <x:v>WIN</x:v>
      </x:c>
    </x:row>
    <x:row r="163">
      <x:c r="A163" s="99" t="str">
        <x:v>2026-06-14 18:59:23</x:v>
      </x:c>
      <x:c r="B163" s="99" t="str">
        <x:v>7716558</x:v>
      </x:c>
      <x:c r="C163" s="99" t="str">
        <x:v>XAUUSD-STD</x:v>
      </x:c>
      <x:c r="D163" s="99" t="str">
        <x:v>BUY</x:v>
      </x:c>
      <x:c r="E163" s="99" t="str">
        <x:v>CLOSED (LOSS)</x:v>
      </x:c>
      <x:c r="F163" s="129" t="str">
        <x:v>4292.00</x:v>
      </x:c>
      <x:c r="G163" s="129" t="str">
        <x:v>4280.00</x:v>
      </x:c>
      <x:c r="H163" s="129" t="str">
        <x:v>4298.00</x:v>
      </x:c>
      <x:c r="I163" s="129" t="str">
        <x:v>0.00</x:v>
      </x:c>
      <x:c r="J163" s="129" t="str">
        <x:v>4.19</x:v>
      </x:c>
      <x:c r="K163" s="99" t="str">
        <x:v>GOLD SCALPING</x:v>
      </x:c>
      <x:c r="L163" s="99" t="str">
        <x:v>LOSS</x:v>
      </x:c>
    </x:row>
    <x:row r="164">
      <x:c r="A164" s="99" t="str">
        <x:v>2026-06-14 19:04:24</x:v>
      </x:c>
      <x:c r="B164" s="99" t="str">
        <x:v>7717513</x:v>
      </x:c>
      <x:c r="C164" s="99" t="str">
        <x:v>XAUUSD-STD</x:v>
      </x:c>
      <x:c r="D164" s="99" t="str">
        <x:v>BUY</x:v>
      </x:c>
      <x:c r="E164" s="99" t="str">
        <x:v>CLOSED (WIN)</x:v>
      </x:c>
      <x:c r="F164" s="129" t="str">
        <x:v>4295.35</x:v>
      </x:c>
      <x:c r="G164" s="129" t="str">
        <x:v>4282.00</x:v>
      </x:c>
      <x:c r="H164" s="129" t="str">
        <x:v>4295.00</x:v>
      </x:c>
      <x:c r="I164" s="129" t="str">
        <x:v>4.96</x:v>
      </x:c>
      <x:c r="J164" s="129" t="str">
        <x:v>0.00</x:v>
      </x:c>
      <x:c r="K164" s="99" t="str">
        <x:v>BLUE PIPSTM</x:v>
      </x:c>
      <x:c r="L164" s="99" t="str">
        <x:v>WIN</x:v>
      </x:c>
    </x:row>
    <x:row r="165">
      <x:c r="A165" s="99" t="str">
        <x:v>2026-06-14 19:04:39</x:v>
      </x:c>
      <x:c r="B165" s="99" t="str">
        <x:v>7718114</x:v>
      </x:c>
      <x:c r="C165" s="99" t="str">
        <x:v>XAUUSD-STD</x:v>
      </x:c>
      <x:c r="D165" s="99" t="str">
        <x:v>SELL</x:v>
      </x:c>
      <x:c r="E165" s="99" t="str">
        <x:v>CLOSED (WIN)</x:v>
      </x:c>
      <x:c r="F165" s="129" t="str">
        <x:v>4293.79</x:v>
      </x:c>
      <x:c r="G165" s="129" t="str">
        <x:v>4308.00</x:v>
      </x:c>
      <x:c r="H165" s="129" t="str">
        <x:v>4294.00</x:v>
      </x:c>
      <x:c r="I165" s="129" t="str">
        <x:v>2.18</x:v>
      </x:c>
      <x:c r="J165" s="129" t="str">
        <x:v>0.00</x:v>
      </x:c>
      <x:c r="K165" s="99" t="str">
        <x:v>GOLD ANALYSIS</x:v>
      </x:c>
      <x:c r="L165" s="99" t="str">
        <x:v>WIN</x:v>
      </x:c>
    </x:row>
    <x:row r="166">
      <x:c r="A166" s="99" t="str">
        <x:v>2026-06-14 19:15:30</x:v>
      </x:c>
      <x:c r="B166" s="99" t="str">
        <x:v>7718202</x:v>
      </x:c>
      <x:c r="C166" s="99" t="str">
        <x:v>XAUUSD-STD</x:v>
      </x:c>
      <x:c r="D166" s="99" t="str">
        <x:v>SELL</x:v>
      </x:c>
      <x:c r="E166" s="99" t="str">
        <x:v>CLOSED (WIN)</x:v>
      </x:c>
      <x:c r="F166" s="129" t="str">
        <x:v>4293.65</x:v>
      </x:c>
      <x:c r="G166" s="129" t="str">
        <x:v>4308.00</x:v>
      </x:c>
      <x:c r="H166" s="129" t="str">
        <x:v>4294.00</x:v>
      </x:c>
      <x:c r="I166" s="129" t="str">
        <x:v>4.25</x:v>
      </x:c>
      <x:c r="J166" s="129" t="str">
        <x:v>0.00</x:v>
      </x:c>
      <x:c r="K166" s="99" t="str">
        <x:v>GOLD ANALYSIS</x:v>
      </x:c>
      <x:c r="L166" s="99" t="str">
        <x:v>WIN</x:v>
      </x:c>
    </x:row>
    <x:row r="167">
      <x:c r="A167" s="99" t="str">
        <x:v>2026-06-14 20:13:16</x:v>
      </x:c>
      <x:c r="B167" s="99" t="str">
        <x:v>7722559</x:v>
      </x:c>
      <x:c r="C167" s="99" t="str">
        <x:v>XAUUSD-STD</x:v>
      </x:c>
      <x:c r="D167" s="99" t="str">
        <x:v>SELL</x:v>
      </x:c>
      <x:c r="E167" s="99" t="str">
        <x:v>CLOSED (LOSS)</x:v>
      </x:c>
      <x:c r="F167" s="129" t="str">
        <x:v>4324.65</x:v>
      </x:c>
      <x:c r="G167" s="129" t="str">
        <x:v>4328.00</x:v>
      </x:c>
      <x:c r="H167" s="129" t="str">
        <x:v>4312.00</x:v>
      </x:c>
      <x:c r="I167" s="129" t="str">
        <x:v>0.00</x:v>
      </x:c>
      <x:c r="J167" s="129" t="str">
        <x:v>13.49</x:v>
      </x:c>
      <x:c r="K167" s="99" t="str">
        <x:v>GOLD ANALYSIS</x:v>
      </x:c>
      <x:c r="L167" s="99" t="str">
        <x:v>LOSS</x:v>
      </x:c>
    </x:row>
    <x:row r="168">
      <x:c r="A168" s="99" t="str">
        <x:v>2026-06-14 22:36:30</x:v>
      </x:c>
      <x:c r="B168" s="99" t="str">
        <x:v>7740125</x:v>
      </x:c>
      <x:c r="C168" s="99" t="str">
        <x:v>XAUUSD-STD</x:v>
      </x:c>
      <x:c r="D168" s="99" t="str">
        <x:v>SELL</x:v>
      </x:c>
      <x:c r="E168" s="99" t="str">
        <x:v>CLOSED (LOSS)</x:v>
      </x:c>
      <x:c r="F168" s="129" t="str">
        <x:v>4329.18</x:v>
      </x:c>
      <x:c r="G168" s="129" t="str">
        <x:v>0.00</x:v>
      </x:c>
      <x:c r="H168" s="129" t="str">
        <x:v>0.00</x:v>
      </x:c>
      <x:c r="I168" s="129" t="str">
        <x:v>0.00</x:v>
      </x:c>
      <x:c r="J168" s="129" t="str">
        <x:v>8.94</x:v>
      </x:c>
      <x:c r="K168" s="99" t="str">
        <x:v>Mobile</x:v>
      </x:c>
      <x:c r="L168" s="99" t="str">
        <x:v>LOSS</x:v>
      </x:c>
    </x:row>
    <x:row r="169">
      <x:c r="A169" s="99" t="str">
        <x:v>2026-06-14 23:09:14</x:v>
      </x:c>
      <x:c r="B169" s="99" t="str">
        <x:v>7742593</x:v>
      </x:c>
      <x:c r="C169" s="99" t="str">
        <x:v>XAUUSD-STD</x:v>
      </x:c>
      <x:c r="D169" s="99" t="str">
        <x:v>BUY</x:v>
      </x:c>
      <x:c r="E169" s="99" t="str">
        <x:v>CLOSED (WIN)</x:v>
      </x:c>
      <x:c r="F169" s="129" t="str">
        <x:v>4329.00</x:v>
      </x:c>
      <x:c r="G169" s="129" t="str">
        <x:v>4320.35</x:v>
      </x:c>
      <x:c r="H169" s="129" t="str">
        <x:v>4329.00</x:v>
      </x:c>
      <x:c r="I169" s="129" t="str">
        <x:v>3.59</x:v>
      </x:c>
      <x:c r="J169" s="129" t="str">
        <x:v>0.00</x:v>
      </x:c>
      <x:c r="K169" s="99" t="str">
        <x:v>FX_Gold Tradi</x:v>
      </x:c>
      <x:c r="L169" s="99" t="str">
        <x:v>WIN</x:v>
      </x:c>
    </x:row>
    <x:row r="170">
      <x:c r="A170" s="99" t="str">
        <x:v>2026-06-14 23:27:26</x:v>
      </x:c>
      <x:c r="B170" s="99" t="str">
        <x:v>7741348</x:v>
      </x:c>
      <x:c r="C170" s="99" t="str">
        <x:v>XAUUSD-STD</x:v>
      </x:c>
      <x:c r="D170" s="99" t="str">
        <x:v>BUY</x:v>
      </x:c>
      <x:c r="E170" s="99" t="str">
        <x:v>CLOSED (WIN)</x:v>
      </x:c>
      <x:c r="F170" s="129" t="str">
        <x:v>4329.59</x:v>
      </x:c>
      <x:c r="G170" s="129" t="str">
        <x:v>0.00</x:v>
      </x:c>
      <x:c r="H170" s="129" t="str">
        <x:v>0.00</x:v>
      </x:c>
      <x:c r="I170" s="129" t="str">
        <x:v>0.29</x:v>
      </x:c>
      <x:c r="J170" s="129" t="str">
        <x:v>0.00</x:v>
      </x:c>
      <x:c r="K170" s="99" t="str">
        <x:v>Mobile</x:v>
      </x:c>
      <x:c r="L170" s="99" t="str">
        <x:v>WIN</x:v>
      </x:c>
    </x:row>
    <x:row r="171">
      <x:c r="A171" s="99" t="str">
        <x:v>2026-06-15 02:53:09</x:v>
      </x:c>
      <x:c r="B171" s="99" t="str">
        <x:v>7759030</x:v>
      </x:c>
      <x:c r="C171" s="99" t="str">
        <x:v>XAUUSD-STD</x:v>
      </x:c>
      <x:c r="D171" s="99" t="str">
        <x:v>SELL</x:v>
      </x:c>
      <x:c r="E171" s="99" t="str">
        <x:v>CLOSED (LOSS)</x:v>
      </x:c>
      <x:c r="F171" s="129" t="str">
        <x:v>4338.58</x:v>
      </x:c>
      <x:c r="G171" s="129" t="str">
        <x:v>0.00</x:v>
      </x:c>
      <x:c r="H171" s="129" t="str">
        <x:v>0.00</x:v>
      </x:c>
      <x:c r="I171" s="129" t="str">
        <x:v>0.00</x:v>
      </x:c>
      <x:c r="J171" s="129" t="str">
        <x:v>5.30</x:v>
      </x:c>
      <x:c r="K171" s="99" t="str">
        <x:v>Mobile</x:v>
      </x:c>
      <x:c r="L171" s="99" t="str">
        <x:v>LOSS</x:v>
      </x:c>
    </x:row>
    <x:row r="172">
      <x:c r="A172" s="99" t="str">
        <x:v>2026-06-15 03:01:19</x:v>
      </x:c>
      <x:c r="B172" s="99" t="str">
        <x:v>7759130</x:v>
      </x:c>
      <x:c r="C172" s="99" t="str">
        <x:v>XAUUSD-STD</x:v>
      </x:c>
      <x:c r="D172" s="99" t="str">
        <x:v>SELL</x:v>
      </x:c>
      <x:c r="E172" s="99" t="str">
        <x:v>CLOSED (WIN)</x:v>
      </x:c>
      <x:c r="F172" s="129" t="str">
        <x:v>4337.70</x:v>
      </x:c>
      <x:c r="G172" s="129" t="str">
        <x:v>0.00</x:v>
      </x:c>
      <x:c r="H172" s="129" t="str">
        <x:v>0.00</x:v>
      </x:c>
      <x:c r="I172" s="129" t="str">
        <x:v>0.92</x:v>
      </x:c>
      <x:c r="J172" s="129" t="str">
        <x:v>0.00</x:v>
      </x:c>
      <x:c r="K172" s="99" t="str">
        <x:v>Mobile</x:v>
      </x:c>
      <x:c r="L172" s="99" t="str">
        <x:v>WIN</x:v>
      </x:c>
    </x:row>
    <x:row r="173">
      <x:c r="A173" s="99" t="str">
        <x:v>2026-06-15 03:46:09</x:v>
      </x:c>
      <x:c r="B173" s="99" t="str">
        <x:v>7759448</x:v>
      </x:c>
      <x:c r="C173" s="99" t="str">
        <x:v>XAUUSD-STD</x:v>
      </x:c>
      <x:c r="D173" s="99" t="str">
        <x:v>SELL</x:v>
      </x:c>
      <x:c r="E173" s="99" t="str">
        <x:v>CLOSED (WIN)</x:v>
      </x:c>
      <x:c r="F173" s="129" t="str">
        <x:v>4337.08</x:v>
      </x:c>
      <x:c r="G173" s="129" t="str">
        <x:v>0.00</x:v>
      </x:c>
      <x:c r="H173" s="129" t="str">
        <x:v>0.00</x:v>
      </x:c>
      <x:c r="I173" s="129" t="str">
        <x:v>1.58</x:v>
      </x:c>
      <x:c r="J173" s="129" t="str">
        <x:v>0.00</x:v>
      </x:c>
      <x:c r="K173" s="99" t="str">
        <x:v>Mobile</x:v>
      </x:c>
      <x:c r="L173" s="99" t="str">
        <x:v>WIN</x:v>
      </x:c>
    </x:row>
    <x:row r="174">
      <x:c r="A174" s="99" t="str">
        <x:v>2026-06-15 04:46:10</x:v>
      </x:c>
      <x:c r="B174" s="99" t="str">
        <x:v>7763389</x:v>
      </x:c>
      <x:c r="C174" s="99" t="str">
        <x:v>XAUUSD-STD</x:v>
      </x:c>
      <x:c r="D174" s="99" t="str">
        <x:v>BUY</x:v>
      </x:c>
      <x:c r="E174" s="99" t="str">
        <x:v>CLOSED (WIN)</x:v>
      </x:c>
      <x:c r="F174" s="129" t="str">
        <x:v>4341.20</x:v>
      </x:c>
      <x:c r="G174" s="129" t="str">
        <x:v>4330.00</x:v>
      </x:c>
      <x:c r="H174" s="129" t="str">
        <x:v>4341.00</x:v>
      </x:c>
      <x:c r="I174" s="129" t="str">
        <x:v>6.23</x:v>
      </x:c>
      <x:c r="J174" s="129" t="str">
        <x:v>0.00</x:v>
      </x:c>
      <x:c r="K174" s="99" t="str">
        <x:v>FOREX EXPERT</x:v>
      </x:c>
      <x:c r="L174" s="99" t="str">
        <x:v>WIN</x:v>
      </x:c>
    </x:row>
    <x:row r="175">
      <x:c r="A175" s="99" t="str">
        <x:v>2026-06-15 05:43:25</x:v>
      </x:c>
      <x:c r="B175" s="99" t="str">
        <x:v>7766423</x:v>
      </x:c>
      <x:c r="C175" s="99" t="str">
        <x:v>XAUUSD-STD</x:v>
      </x:c>
      <x:c r="D175" s="99" t="str">
        <x:v>SELL</x:v>
      </x:c>
      <x:c r="E175" s="99" t="str">
        <x:v>CLOSED (WIN)</x:v>
      </x:c>
      <x:c r="F175" s="129" t="str">
        <x:v>4343.00</x:v>
      </x:c>
      <x:c r="G175" s="129" t="str">
        <x:v>4358.00</x:v>
      </x:c>
      <x:c r="H175" s="129" t="str">
        <x:v>4343.00</x:v>
      </x:c>
      <x:c r="I175" s="129" t="str">
        <x:v>4.79</x:v>
      </x:c>
      <x:c r="J175" s="129" t="str">
        <x:v>0.00</x:v>
      </x:c>
      <x:c r="K175" s="99" t="str">
        <x:v>FX_Gold Tradi</x:v>
      </x:c>
      <x:c r="L175" s="99" t="str">
        <x:v>WIN</x:v>
      </x:c>
    </x:row>
    <x:row r="176">
      <x:c r="A176" s="99" t="str">
        <x:v>2026-06-15 06:04:23</x:v>
      </x:c>
      <x:c r="B176" s="99" t="str">
        <x:v>7768511</x:v>
      </x:c>
      <x:c r="C176" s="99" t="str">
        <x:v>XAUUSD-STD</x:v>
      </x:c>
      <x:c r="D176" s="99" t="str">
        <x:v>BUY</x:v>
      </x:c>
      <x:c r="E176" s="99" t="str">
        <x:v>CLOSED (WIN)</x:v>
      </x:c>
      <x:c r="F176" s="129" t="str">
        <x:v>4338.50</x:v>
      </x:c>
      <x:c r="G176" s="129" t="str">
        <x:v>0.00</x:v>
      </x:c>
      <x:c r="H176" s="129" t="str">
        <x:v>0.00</x:v>
      </x:c>
      <x:c r="I176" s="129" t="str">
        <x:v>4.60</x:v>
      </x:c>
      <x:c r="J176" s="129" t="str">
        <x:v>0.00</x:v>
      </x:c>
      <x:c r="K176" s="99" t="str">
        <x:v>Mobile</x:v>
      </x:c>
      <x:c r="L176" s="99" t="str">
        <x:v>WIN</x:v>
      </x:c>
    </x:row>
    <x:row r="177">
      <x:c r="A177" s="99" t="str">
        <x:v>2026-06-15 06:18:04</x:v>
      </x:c>
      <x:c r="B177" s="99" t="str">
        <x:v>7767897</x:v>
      </x:c>
      <x:c r="C177" s="99" t="str">
        <x:v>XAUUSD-STD</x:v>
      </x:c>
      <x:c r="D177" s="99" t="str">
        <x:v>BUY</x:v>
      </x:c>
      <x:c r="E177" s="99" t="str">
        <x:v>CLOSED (LOSS)</x:v>
      </x:c>
      <x:c r="F177" s="129" t="str">
        <x:v>4324.81</x:v>
      </x:c>
      <x:c r="G177" s="129" t="str">
        <x:v>4325.00</x:v>
      </x:c>
      <x:c r="H177" s="129" t="str">
        <x:v>4338.00</x:v>
      </x:c>
      <x:c r="I177" s="129" t="str">
        <x:v>0.00</x:v>
      </x:c>
      <x:c r="J177" s="129" t="str">
        <x:v>9.35</x:v>
      </x:c>
      <x:c r="K177" s="99" t="str">
        <x:v>Eliz FX Acade</x:v>
      </x:c>
      <x:c r="L177" s="99" t="str">
        <x:v>LOSS</x:v>
      </x:c>
    </x:row>
    <x:row r="178">
      <x:c r="A178" s="99" t="str">
        <x:v>2026-06-15 06:51:22</x:v>
      </x:c>
      <x:c r="B178" s="99" t="str">
        <x:v>7767861</x:v>
      </x:c>
      <x:c r="C178" s="99" t="str">
        <x:v>XAUUSD-STD</x:v>
      </x:c>
      <x:c r="D178" s="99" t="str">
        <x:v>BUY</x:v>
      </x:c>
      <x:c r="E178" s="99" t="str">
        <x:v>CLOSED (WIN)</x:v>
      </x:c>
      <x:c r="F178" s="129" t="str">
        <x:v>4347.73</x:v>
      </x:c>
      <x:c r="G178" s="129" t="str">
        <x:v>0.00</x:v>
      </x:c>
      <x:c r="H178" s="129" t="str">
        <x:v>0.00</x:v>
      </x:c>
      <x:c r="I178" s="129" t="str">
        <x:v>25.95</x:v>
      </x:c>
      <x:c r="J178" s="129" t="str">
        <x:v>0.00</x:v>
      </x:c>
      <x:c r="K178" s="99" t="str">
        <x:v>Mobile</x:v>
      </x:c>
      <x:c r="L178" s="99" t="str">
        <x:v>WIN</x:v>
      </x:c>
    </x:row>
    <x:row r="179">
      <x:c r="A179" s="99" t="str">
        <x:v>2026-06-15 06:54:27</x:v>
      </x:c>
      <x:c r="B179" s="99" t="str">
        <x:v>7775263</x:v>
      </x:c>
      <x:c r="C179" s="99" t="str">
        <x:v>XAUUSD-STD</x:v>
      </x:c>
      <x:c r="D179" s="99" t="str">
        <x:v>BUY</x:v>
      </x:c>
      <x:c r="E179" s="99" t="str">
        <x:v>CLOSED (LOSS)</x:v>
      </x:c>
      <x:c r="F179" s="129" t="str">
        <x:v>4345.21</x:v>
      </x:c>
      <x:c r="G179" s="129" t="str">
        <x:v>0.00</x:v>
      </x:c>
      <x:c r="H179" s="129" t="str">
        <x:v>0.00</x:v>
      </x:c>
      <x:c r="I179" s="129" t="str">
        <x:v>0.00</x:v>
      </x:c>
      <x:c r="J179" s="129" t="str">
        <x:v>5.70</x:v>
      </x:c>
      <x:c r="K179" s="99" t="str">
        <x:v>Mobile</x:v>
      </x:c>
      <x:c r="L179" s="99" t="str">
        <x:v>LOSS</x:v>
      </x:c>
    </x:row>
    <x:row r="180">
      <x:c r="A180" s="99" t="str">
        <x:v>2026-06-15 07:14:19</x:v>
      </x:c>
      <x:c r="B180" s="99" t="str">
        <x:v>7772407</x:v>
      </x:c>
      <x:c r="C180" s="99" t="str">
        <x:v>XAUUSD-STD</x:v>
      </x:c>
      <x:c r="D180" s="99" t="str">
        <x:v>SELL</x:v>
      </x:c>
      <x:c r="E180" s="99" t="str">
        <x:v>CLOSED (LOSS)</x:v>
      </x:c>
      <x:c r="F180" s="129" t="str">
        <x:v>4350.58</x:v>
      </x:c>
      <x:c r="G180" s="129" t="str">
        <x:v>4355.00</x:v>
      </x:c>
      <x:c r="H180" s="129" t="str">
        <x:v>4340.00</x:v>
      </x:c>
      <x:c r="I180" s="129" t="str">
        <x:v>0.00</x:v>
      </x:c>
      <x:c r="J180" s="129" t="str">
        <x:v>7.56</x:v>
      </x:c>
      <x:c r="K180" s="99" t="str">
        <x:v>FX_Gold Tradi</x:v>
      </x:c>
      <x:c r="L180" s="99" t="str">
        <x:v>LOSS</x:v>
      </x:c>
    </x:row>
    <x:row r="181">
      <x:c r="A181" s="99" t="str">
        <x:v>2026-06-15 21:26:07</x:v>
      </x:c>
      <x:c r="B181" s="99" t="str">
        <x:v>7851306</x:v>
      </x:c>
      <x:c r="C181" s="99" t="str">
        <x:v>XAUUSD-STD</x:v>
      </x:c>
      <x:c r="D181" s="99" t="str">
        <x:v>BUY</x:v>
      </x:c>
      <x:c r="E181" s="99" t="str">
        <x:v>CLOSED (WIN)</x:v>
      </x:c>
      <x:c r="F181" s="129" t="str">
        <x:v>4320.61</x:v>
      </x:c>
      <x:c r="G181" s="129" t="str">
        <x:v>4308.00</x:v>
      </x:c>
      <x:c r="H181" s="129" t="str">
        <x:v>4320.00</x:v>
      </x:c>
      <x:c r="I181" s="129" t="str">
        <x:v>3.65</x:v>
      </x:c>
      <x:c r="J181" s="129" t="str">
        <x:v>0.00</x:v>
      </x:c>
      <x:c r="K181" s="99" t="str">
        <x:v>JACKY GOLD PR</x:v>
      </x:c>
      <x:c r="L181" s="99" t="str">
        <x:v>WIN</x:v>
      </x:c>
    </x:row>
    <x:row r="182">
      <x:c r="A182" s="99" t="str">
        <x:v>2026-06-15 21:26:07</x:v>
      </x:c>
      <x:c r="B182" s="99" t="str">
        <x:v>7851453</x:v>
      </x:c>
      <x:c r="C182" s="99" t="str">
        <x:v>XAUUSD-STD</x:v>
      </x:c>
      <x:c r="D182" s="99" t="str">
        <x:v>BUY</x:v>
      </x:c>
      <x:c r="E182" s="99" t="str">
        <x:v>CLOSED (WIN)</x:v>
      </x:c>
      <x:c r="F182" s="129" t="str">
        <x:v>4320.61</x:v>
      </x:c>
      <x:c r="G182" s="129" t="str">
        <x:v>0.00</x:v>
      </x:c>
      <x:c r="H182" s="129" t="str">
        <x:v>0.00</x:v>
      </x:c>
      <x:c r="I182" s="129" t="str">
        <x:v>1.32</x:v>
      </x:c>
      <x:c r="J182" s="129" t="str">
        <x:v>0.00</x:v>
      </x:c>
      <x:c r="K182" s="99" t="str">
        <x:v>Mobile</x:v>
      </x:c>
      <x:c r="L182" s="99" t="str">
        <x:v>WIN</x:v>
      </x:c>
    </x:row>
    <x:row r="183">
      <x:c r="A183" s="99" t="str">
        <x:v>2026-06-15 21:29:17</x:v>
      </x:c>
      <x:c r="B183" s="99" t="str">
        <x:v>7851926</x:v>
      </x:c>
      <x:c r="C183" s="99" t="str">
        <x:v>XAUUSD-STD</x:v>
      </x:c>
      <x:c r="D183" s="99" t="str">
        <x:v>SELL</x:v>
      </x:c>
      <x:c r="E183" s="99" t="str">
        <x:v>CLOSED (WIN)</x:v>
      </x:c>
      <x:c r="F183" s="129" t="str">
        <x:v>4321.82</x:v>
      </x:c>
      <x:c r="G183" s="129" t="str">
        <x:v>4327.00</x:v>
      </x:c>
      <x:c r="H183" s="129" t="str">
        <x:v>4300.00</x:v>
      </x:c>
      <x:c r="I183" s="129" t="str">
        <x:v>0.22</x:v>
      </x:c>
      <x:c r="J183" s="129" t="str">
        <x:v>0.00</x:v>
      </x:c>
      <x:c r="K183" s="99" t="str">
        <x:v>GOLD SCALPING</x:v>
      </x:c>
      <x:c r="L183" s="99" t="str">
        <x:v>WIN</x:v>
      </x:c>
    </x:row>
    <x:row r="184">
      <x:c r="A184" s="99" t="str">
        <x:v>2026-06-15 22:05:11</x:v>
      </x:c>
      <x:c r="B184" s="99" t="str">
        <x:v>7854837</x:v>
      </x:c>
      <x:c r="C184" s="99" t="str">
        <x:v>XAUUSD-STD</x:v>
      </x:c>
      <x:c r="D184" s="99" t="str">
        <x:v>BUY</x:v>
      </x:c>
      <x:c r="E184" s="99" t="str">
        <x:v>CLOSED (LOSS)</x:v>
      </x:c>
      <x:c r="F184" s="129" t="str">
        <x:v>4328.31</x:v>
      </x:c>
      <x:c r="G184" s="129" t="str">
        <x:v>0.00</x:v>
      </x:c>
      <x:c r="H184" s="129" t="str">
        <x:v>0.00</x:v>
      </x:c>
      <x:c r="I184" s="129" t="str">
        <x:v>0.00</x:v>
      </x:c>
      <x:c r="J184" s="129" t="str">
        <x:v>6.29</x:v>
      </x:c>
      <x:c r="K184" s="99" t="str">
        <x:v>Mobile</x:v>
      </x:c>
      <x:c r="L184" s="99" t="str">
        <x:v>LOSS</x:v>
      </x:c>
    </x:row>
    <x:row r="185">
      <x:c r="A185" s="99" t="str">
        <x:v>2026-06-15 22:29:38</x:v>
      </x:c>
      <x:c r="B185" s="99" t="str">
        <x:v>7856872</x:v>
      </x:c>
      <x:c r="C185" s="99" t="str">
        <x:v>XAUUSD-STD</x:v>
      </x:c>
      <x:c r="D185" s="99" t="str">
        <x:v>SELL</x:v>
      </x:c>
      <x:c r="E185" s="99" t="str">
        <x:v>CLOSED (WIN)</x:v>
      </x:c>
      <x:c r="F185" s="129" t="str">
        <x:v>4323.14</x:v>
      </x:c>
      <x:c r="G185" s="129" t="str">
        <x:v>0.00</x:v>
      </x:c>
      <x:c r="H185" s="129" t="str">
        <x:v>0.00</x:v>
      </x:c>
      <x:c r="I185" s="129" t="str">
        <x:v>4.13</x:v>
      </x:c>
      <x:c r="J185" s="129" t="str">
        <x:v>0.00</x:v>
      </x:c>
      <x:c r="K185" s="99" t="str">
        <x:v>Mobile</x:v>
      </x:c>
      <x:c r="L185" s="99" t="str">
        <x:v>WIN</x:v>
      </x:c>
    </x:row>
    <x:row r="186">
      <x:c r="A186" s="99" t="str">
        <x:v>2026-06-15 23:10:02</x:v>
      </x:c>
      <x:c r="B186" s="99" t="str">
        <x:v>7858923</x:v>
      </x:c>
      <x:c r="C186" s="99" t="str">
        <x:v>XAUUSD-STD</x:v>
      </x:c>
      <x:c r="D186" s="99" t="str">
        <x:v>SELL</x:v>
      </x:c>
      <x:c r="E186" s="99" t="str">
        <x:v>CLOSED (LOSS)</x:v>
      </x:c>
      <x:c r="F186" s="129" t="str">
        <x:v>4328.73</x:v>
      </x:c>
      <x:c r="G186" s="129" t="str">
        <x:v>0.00</x:v>
      </x:c>
      <x:c r="H186" s="129" t="str">
        <x:v>0.00</x:v>
      </x:c>
      <x:c r="I186" s="129" t="str">
        <x:v>0.00</x:v>
      </x:c>
      <x:c r="J186" s="129" t="str">
        <x:v>8.94</x:v>
      </x:c>
      <x:c r="K186" s="99" t="str">
        <x:v>Mobile</x:v>
      </x:c>
      <x:c r="L186" s="99" t="str">
        <x:v>LOSS</x:v>
      </x:c>
    </x:row>
    <x:row r="187">
      <x:c r="A187" s="99" t="str">
        <x:v>2026-06-15 23:34:15</x:v>
      </x:c>
      <x:c r="B187" s="99" t="str">
        <x:v>7858911</x:v>
      </x:c>
      <x:c r="C187" s="99" t="str">
        <x:v>XAUUSD-STD</x:v>
      </x:c>
      <x:c r="D187" s="99" t="str">
        <x:v>SELL</x:v>
      </x:c>
      <x:c r="E187" s="99" t="str">
        <x:v>CLOSED (WIN)</x:v>
      </x:c>
      <x:c r="F187" s="129" t="str">
        <x:v>4323.80</x:v>
      </x:c>
      <x:c r="G187" s="129" t="str">
        <x:v>4335.00</x:v>
      </x:c>
      <x:c r="H187" s="129" t="str">
        <x:v>4322.00</x:v>
      </x:c>
      <x:c r="I187" s="129" t="str">
        <x:v>1.68</x:v>
      </x:c>
      <x:c r="J187" s="129" t="str">
        <x:v>0.00</x:v>
      </x:c>
      <x:c r="K187" s="99" t="str">
        <x:v>BEST XAU/USD</x:v>
      </x:c>
      <x:c r="L187" s="99" t="str">
        <x:v>WIN</x:v>
      </x:c>
    </x:row>
    <x:row r="188">
      <x:c r="A188" s="99" t="str">
        <x:v>2026-06-15 23:42:36</x:v>
      </x:c>
      <x:c r="B188" s="99" t="str">
        <x:v>7861582</x:v>
      </x:c>
      <x:c r="C188" s="99" t="str">
        <x:v>XAUUSD-STD</x:v>
      </x:c>
      <x:c r="D188" s="99" t="str">
        <x:v>SELL</x:v>
      </x:c>
      <x:c r="E188" s="99" t="str">
        <x:v>CLOSED (WIN)</x:v>
      </x:c>
      <x:c r="F188" s="129" t="str">
        <x:v>4317.61</x:v>
      </x:c>
      <x:c r="G188" s="129" t="str">
        <x:v>0.00</x:v>
      </x:c>
      <x:c r="H188" s="129" t="str">
        <x:v>0.00</x:v>
      </x:c>
      <x:c r="I188" s="129" t="str">
        <x:v>1.40</x:v>
      </x:c>
      <x:c r="J188" s="129" t="str">
        <x:v>0.00</x:v>
      </x:c>
      <x:c r="K188" s="99" t="str">
        <x:v>Mobile</x:v>
      </x:c>
      <x:c r="L188" s="99" t="str">
        <x:v>WIN</x:v>
      </x:c>
    </x:row>
    <x:row r="189">
      <x:c r="A189" s="99" t="str">
        <x:v>2026-06-15 23:52:12</x:v>
      </x:c>
      <x:c r="B189" s="99" t="str">
        <x:v>7861878</x:v>
      </x:c>
      <x:c r="C189" s="99" t="str">
        <x:v>XAUUSD-STD</x:v>
      </x:c>
      <x:c r="D189" s="99" t="str">
        <x:v>BUY</x:v>
      </x:c>
      <x:c r="E189" s="99" t="str">
        <x:v>CLOSED (WIN)</x:v>
      </x:c>
      <x:c r="F189" s="129" t="str">
        <x:v>4320.59</x:v>
      </x:c>
      <x:c r="G189" s="129" t="str">
        <x:v>0.00</x:v>
      </x:c>
      <x:c r="H189" s="129" t="str">
        <x:v>0.00</x:v>
      </x:c>
      <x:c r="I189" s="129" t="str">
        <x:v>4.72</x:v>
      </x:c>
      <x:c r="J189" s="129" t="str">
        <x:v>0.00</x:v>
      </x:c>
      <x:c r="K189" s="99" t="str">
        <x:v>Mobile</x:v>
      </x:c>
      <x:c r="L189" s="99" t="str">
        <x:v>WIN</x:v>
      </x:c>
    </x:row>
    <x:row r="190">
      <x:c r="A190" s="99" t="str">
        <x:v>2026-06-15 23:52:22</x:v>
      </x:c>
      <x:c r="B190" s="99" t="str">
        <x:v>7861193</x:v>
      </x:c>
      <x:c r="C190" s="99" t="str">
        <x:v>XAUUSD-STD</x:v>
      </x:c>
      <x:c r="D190" s="99" t="str">
        <x:v>BUY</x:v>
      </x:c>
      <x:c r="E190" s="99" t="str">
        <x:v>CLOSED (LOSS)</x:v>
      </x:c>
      <x:c r="F190" s="129" t="str">
        <x:v>4320.26</x:v>
      </x:c>
      <x:c r="G190" s="129" t="str">
        <x:v>0.00</x:v>
      </x:c>
      <x:c r="H190" s="129" t="str">
        <x:v>0.00</x:v>
      </x:c>
      <x:c r="I190" s="129" t="str">
        <x:v>0.00</x:v>
      </x:c>
      <x:c r="J190" s="129" t="str">
        <x:v>4.51</x:v>
      </x:c>
      <x:c r="K190" s="99" t="str">
        <x:v>Mobile</x:v>
      </x:c>
      <x:c r="L190" s="99" t="str">
        <x:v>LOSS</x:v>
      </x:c>
    </x:row>
    <x:row r="191">
      <x:c r="A191" s="99" t="str">
        <x:v>2026-06-15 23:59:27</x:v>
      </x:c>
      <x:c r="B191" s="99" t="str">
        <x:v>7862300</x:v>
      </x:c>
      <x:c r="C191" s="99" t="str">
        <x:v>XAUUSD-STD</x:v>
      </x:c>
      <x:c r="D191" s="99" t="str">
        <x:v>SELL</x:v>
      </x:c>
      <x:c r="E191" s="99" t="str">
        <x:v>CLOSED (WIN)</x:v>
      </x:c>
      <x:c r="F191" s="129" t="str">
        <x:v>4315.33</x:v>
      </x:c>
      <x:c r="G191" s="129" t="str">
        <x:v>0.00</x:v>
      </x:c>
      <x:c r="H191" s="129" t="str">
        <x:v>0.00</x:v>
      </x:c>
      <x:c r="I191" s="129" t="str">
        <x:v>7.34</x:v>
      </x:c>
      <x:c r="J191" s="129" t="str">
        <x:v>0.00</x:v>
      </x:c>
      <x:c r="K191" s="99" t="str">
        <x:v>Mobile</x:v>
      </x:c>
      <x:c r="L191" s="99" t="str">
        <x:v>WIN</x:v>
      </x:c>
    </x:row>
    <x:row r="192">
      <x:c r="A192" s="99" t="str">
        <x:v>2026-06-16 00:37:06</x:v>
      </x:c>
      <x:c r="B192" s="99" t="str">
        <x:v>7863966</x:v>
      </x:c>
      <x:c r="C192" s="99" t="str">
        <x:v>XAUUSD-STD</x:v>
      </x:c>
      <x:c r="D192" s="99" t="str">
        <x:v>BUY</x:v>
      </x:c>
      <x:c r="E192" s="99" t="str">
        <x:v>CLOSED (WIN)</x:v>
      </x:c>
      <x:c r="F192" s="129" t="str">
        <x:v>4320.00</x:v>
      </x:c>
      <x:c r="G192" s="129" t="str">
        <x:v>4300.00</x:v>
      </x:c>
      <x:c r="H192" s="129" t="str">
        <x:v>4320.00</x:v>
      </x:c>
      <x:c r="I192" s="129" t="str">
        <x:v>7.00</x:v>
      </x:c>
      <x:c r="J192" s="129" t="str">
        <x:v>0.00</x:v>
      </x:c>
      <x:c r="K192" s="99" t="str">
        <x:v>GOLD PIPS SHA</x:v>
      </x:c>
      <x:c r="L192" s="99" t="str">
        <x:v>WIN</x:v>
      </x:c>
    </x:row>
    <x:row r="193">
      <x:c r="A193" s="99" t="str">
        <x:v>2026-06-16 00:58:28</x:v>
      </x:c>
      <x:c r="B193" s="99" t="str">
        <x:v>7863031</x:v>
      </x:c>
      <x:c r="C193" s="99" t="str">
        <x:v>XAUUSD-STD</x:v>
      </x:c>
      <x:c r="D193" s="99" t="str">
        <x:v>SELL</x:v>
      </x:c>
      <x:c r="E193" s="99" t="str">
        <x:v>CLOSED (LOSS)</x:v>
      </x:c>
      <x:c r="F193" s="129" t="str">
        <x:v>4323.40</x:v>
      </x:c>
      <x:c r="G193" s="129" t="str">
        <x:v>0.00</x:v>
      </x:c>
      <x:c r="H193" s="129" t="str">
        <x:v>0.00</x:v>
      </x:c>
      <x:c r="I193" s="129" t="str">
        <x:v>0.00</x:v>
      </x:c>
      <x:c r="J193" s="129" t="str">
        <x:v>12.59</x:v>
      </x:c>
      <x:c r="K193" s="99" t="str">
        <x:v>Mobile</x:v>
      </x:c>
      <x:c r="L193" s="99" t="str">
        <x:v>LOSS</x:v>
      </x:c>
    </x:row>
    <x:row r="194">
      <x:c r="A194" s="99" t="str">
        <x:v>2026-06-16 02:36:38</x:v>
      </x:c>
      <x:c r="B194" s="99" t="str">
        <x:v>7869694</x:v>
      </x:c>
      <x:c r="C194" s="99" t="str">
        <x:v>XAUUSD-STD</x:v>
      </x:c>
      <x:c r="D194" s="99" t="str">
        <x:v>BUY</x:v>
      </x:c>
      <x:c r="E194" s="99" t="str">
        <x:v>CLOSED (WIN)</x:v>
      </x:c>
      <x:c r="F194" s="129" t="str">
        <x:v>4343.25</x:v>
      </x:c>
      <x:c r="G194" s="129" t="str">
        <x:v>4328.00</x:v>
      </x:c>
      <x:c r="H194" s="129" t="str">
        <x:v>4343.00</x:v>
      </x:c>
      <x:c r="I194" s="129" t="str">
        <x:v>3.95</x:v>
      </x:c>
      <x:c r="J194" s="129" t="str">
        <x:v>0.00</x:v>
      </x:c>
      <x:c r="K194" s="99" t="str">
        <x:v>FX_Gold Tradi</x:v>
      </x:c>
      <x:c r="L194" s="99" t="str">
        <x:v>WIN</x:v>
      </x:c>
    </x:row>
    <x:row r="195">
      <x:c r="A195" s="99" t="str">
        <x:v>2026-06-16 02:44:14</x:v>
      </x:c>
      <x:c r="B195" s="99" t="str">
        <x:v>7867319</x:v>
      </x:c>
      <x:c r="C195" s="99" t="str">
        <x:v>XAUUSD-STD</x:v>
      </x:c>
      <x:c r="D195" s="99" t="str">
        <x:v>SELL</x:v>
      </x:c>
      <x:c r="E195" s="99" t="str">
        <x:v>CLOSED (LOSS)</x:v>
      </x:c>
      <x:c r="F195" s="129" t="str">
        <x:v>4345.32</x:v>
      </x:c>
      <x:c r="G195" s="129" t="str">
        <x:v>4345.00</x:v>
      </x:c>
      <x:c r="H195" s="129" t="str">
        <x:v>4326.00</x:v>
      </x:c>
      <x:c r="I195" s="129" t="str">
        <x:v>0.00</x:v>
      </x:c>
      <x:c r="J195" s="129" t="str">
        <x:v>20.84</x:v>
      </x:c>
      <x:c r="K195" s="99" t="str">
        <x:v>GOLD SCALPING</x:v>
      </x:c>
      <x:c r="L195" s="99" t="str">
        <x:v>LOSS</x:v>
      </x:c>
    </x:row>
    <x:row r="196">
      <x:c r="A196" s="99" t="str">
        <x:v>2026-06-16 21:58:36</x:v>
      </x:c>
      <x:c r="B196" s="99" t="str">
        <x:v>7951217</x:v>
      </x:c>
      <x:c r="C196" s="99" t="str">
        <x:v>XAUUSD-STD</x:v>
      </x:c>
      <x:c r="D196" s="99" t="str">
        <x:v>BUY</x:v>
      </x:c>
      <x:c r="E196" s="99" t="str">
        <x:v>CLOSED (WIN)</x:v>
      </x:c>
      <x:c r="F196" s="129" t="str">
        <x:v>4330.65</x:v>
      </x:c>
      <x:c r="G196" s="129" t="str">
        <x:v>4323.00</x:v>
      </x:c>
      <x:c r="H196" s="129" t="str">
        <x:v>4336.00</x:v>
      </x:c>
      <x:c r="I196" s="129" t="str">
        <x:v>2.00</x:v>
      </x:c>
      <x:c r="J196" s="129" t="str">
        <x:v>0.00</x:v>
      </x:c>
      <x:c r="K196" s="99" t="str">
        <x:v>Eliz FX Acade</x:v>
      </x:c>
      <x:c r="L196" s="99" t="str">
        <x:v>WIN</x:v>
      </x:c>
    </x:row>
    <x:row r="197">
      <x:c r="A197" s="99" t="str">
        <x:v>2026-06-16 22:35:05</x:v>
      </x:c>
      <x:c r="B197" s="99" t="str">
        <x:v>7955543</x:v>
      </x:c>
      <x:c r="C197" s="99" t="str">
        <x:v>XAUUSD-STD</x:v>
      </x:c>
      <x:c r="D197" s="99" t="str">
        <x:v>BUY</x:v>
      </x:c>
      <x:c r="E197" s="99" t="str">
        <x:v>CLOSED (LOSS)</x:v>
      </x:c>
      <x:c r="F197" s="129" t="str">
        <x:v>4317.57</x:v>
      </x:c>
      <x:c r="G197" s="129" t="str">
        <x:v>4318.00</x:v>
      </x:c>
      <x:c r="H197" s="129" t="str">
        <x:v>4330.00</x:v>
      </x:c>
      <x:c r="I197" s="129" t="str">
        <x:v>0.00</x:v>
      </x:c>
      <x:c r="J197" s="129" t="str">
        <x:v>13.80</x:v>
      </x:c>
      <x:c r="K197" s="99" t="str">
        <x:v>JACKY GOLD PR</x:v>
      </x:c>
      <x:c r="L197" s="99" t="str">
        <x:v>LOSS</x:v>
      </x:c>
    </x:row>
    <x:row r="198">
      <x:c r="A198" s="99" t="str">
        <x:v>2026-06-16 23:19:29</x:v>
      </x:c>
      <x:c r="B198" s="99" t="str">
        <x:v>7958134</x:v>
      </x:c>
      <x:c r="C198" s="99" t="str">
        <x:v>XAUUSD-STD</x:v>
      </x:c>
      <x:c r="D198" s="99" t="str">
        <x:v>BUY</x:v>
      </x:c>
      <x:c r="E198" s="99" t="str">
        <x:v>CLOSED (WIN)</x:v>
      </x:c>
      <x:c r="F198" s="129" t="str">
        <x:v>4326.65</x:v>
      </x:c>
      <x:c r="G198" s="129" t="str">
        <x:v>0.00</x:v>
      </x:c>
      <x:c r="H198" s="129" t="str">
        <x:v>0.00</x:v>
      </x:c>
      <x:c r="I198" s="129" t="str">
        <x:v>2.73</x:v>
      </x:c>
      <x:c r="J198" s="129" t="str">
        <x:v>0.00</x:v>
      </x:c>
      <x:c r="K198" s="99" t="str">
        <x:v>Mobile</x:v>
      </x:c>
      <x:c r="L198" s="99" t="str">
        <x:v>WIN</x:v>
      </x:c>
    </x:row>
    <x:row r="199">
      <x:c r="A199" s="99" t="str">
        <x:v>2026-06-17 01:13:10</x:v>
      </x:c>
      <x:c r="B199" s="99" t="str">
        <x:v>7964557</x:v>
      </x:c>
      <x:c r="C199" s="99" t="str">
        <x:v>XAUUSD-STD</x:v>
      </x:c>
      <x:c r="D199" s="99" t="str">
        <x:v>SELL</x:v>
      </x:c>
      <x:c r="E199" s="99" t="str">
        <x:v>CLOSED (WIN)</x:v>
      </x:c>
      <x:c r="F199" s="129" t="str">
        <x:v>4328.78</x:v>
      </x:c>
      <x:c r="G199" s="129" t="str">
        <x:v>4342.00</x:v>
      </x:c>
      <x:c r="H199" s="129" t="str">
        <x:v>4329.00</x:v>
      </x:c>
      <x:c r="I199" s="129" t="str">
        <x:v>4.75</x:v>
      </x:c>
      <x:c r="J199" s="129" t="str">
        <x:v>0.00</x:v>
      </x:c>
      <x:c r="K199" s="99" t="str">
        <x:v>BEST XAU/USD</x:v>
      </x:c>
      <x:c r="L199" s="99" t="str">
        <x:v>WIN</x:v>
      </x:c>
    </x:row>
    <x:row r="200">
      <x:c r="A200" s="99" t="str">
        <x:v>2026-06-17 01:14:20</x:v>
      </x:c>
      <x:c r="B200" s="99" t="str">
        <x:v>7964347</x:v>
      </x:c>
      <x:c r="C200" s="99" t="str">
        <x:v>XAUUSD-STD</x:v>
      </x:c>
      <x:c r="D200" s="99" t="str">
        <x:v>SELL</x:v>
      </x:c>
      <x:c r="E200" s="99" t="str">
        <x:v>CLOSED (WIN)</x:v>
      </x:c>
      <x:c r="F200" s="129" t="str">
        <x:v>4328.00</x:v>
      </x:c>
      <x:c r="G200" s="129" t="str">
        <x:v>4343.00</x:v>
      </x:c>
      <x:c r="H200" s="129" t="str">
        <x:v>4328.00</x:v>
      </x:c>
      <x:c r="I200" s="129" t="str">
        <x:v>4.80</x:v>
      </x:c>
      <x:c r="J200" s="129" t="str">
        <x:v>0.00</x:v>
      </x:c>
      <x:c r="K200" s="99" t="str">
        <x:v>FX_Gold Tradi</x:v>
      </x:c>
      <x:c r="L200" s="99" t="str">
        <x:v>WIN</x:v>
      </x:c>
    </x:row>
    <x:row r="201">
      <x:c r="A201" s="99" t="str">
        <x:v>2026-06-17 02:51:20</x:v>
      </x:c>
      <x:c r="B201" s="99" t="str">
        <x:v>7967487</x:v>
      </x:c>
      <x:c r="C201" s="99" t="str">
        <x:v>XAUUSD-STD</x:v>
      </x:c>
      <x:c r="D201" s="99" t="str">
        <x:v>BUY</x:v>
      </x:c>
      <x:c r="E201" s="99" t="str">
        <x:v>CLOSED (WIN)</x:v>
      </x:c>
      <x:c r="F201" s="129" t="str">
        <x:v>4322.00</x:v>
      </x:c>
      <x:c r="G201" s="129" t="str">
        <x:v>4310.00</x:v>
      </x:c>
      <x:c r="H201" s="129" t="str">
        <x:v>4322.00</x:v>
      </x:c>
      <x:c r="I201" s="129" t="str">
        <x:v>2.80</x:v>
      </x:c>
      <x:c r="J201" s="129" t="str">
        <x:v>0.00</x:v>
      </x:c>
      <x:c r="K201" s="99" t="str">
        <x:v>JACKY GOLD PR</x:v>
      </x:c>
      <x:c r="L201" s="99" t="str">
        <x:v>WIN</x:v>
      </x:c>
    </x:row>
    <x:row r="202">
      <x:c r="A202" s="99" t="str">
        <x:v>2026-06-17 03:58:22</x:v>
      </x:c>
      <x:c r="B202" s="99" t="str">
        <x:v>7968023</x:v>
      </x:c>
      <x:c r="C202" s="99" t="str">
        <x:v>XAUUSD-STD</x:v>
      </x:c>
      <x:c r="D202" s="99" t="str">
        <x:v>SELL</x:v>
      </x:c>
      <x:c r="E202" s="99" t="str">
        <x:v>CLOSED (WIN)</x:v>
      </x:c>
      <x:c r="F202" s="129" t="str">
        <x:v>4329.11</x:v>
      </x:c>
      <x:c r="G202" s="129" t="str">
        <x:v>4340.00</x:v>
      </x:c>
      <x:c r="H202" s="129" t="str">
        <x:v>4325.00</x:v>
      </x:c>
      <x:c r="I202" s="129" t="str">
        <x:v>1.25</x:v>
      </x:c>
      <x:c r="J202" s="129" t="str">
        <x:v>0.00</x:v>
      </x:c>
      <x:c r="K202" s="99" t="str">
        <x:v>Scalpingfxno1</x:v>
      </x:c>
      <x:c r="L202" s="99" t="str">
        <x:v>WIN</x:v>
      </x:c>
    </x:row>
    <x:row r="203">
      <x:c r="A203" s="99" t="str">
        <x:v>2026-06-17 05:02:08</x:v>
      </x:c>
      <x:c r="B203" s="99" t="str">
        <x:v>7972344</x:v>
      </x:c>
      <x:c r="C203" s="99" t="str">
        <x:v>XAUUSD-STD</x:v>
      </x:c>
      <x:c r="D203" s="99" t="str">
        <x:v>SELL</x:v>
      </x:c>
      <x:c r="E203" s="99" t="str">
        <x:v>CLOSED (WIN)</x:v>
      </x:c>
      <x:c r="F203" s="129" t="str">
        <x:v>4331.00</x:v>
      </x:c>
      <x:c r="G203" s="129" t="str">
        <x:v>4350.00</x:v>
      </x:c>
      <x:c r="H203" s="129" t="str">
        <x:v>4331.00</x:v>
      </x:c>
      <x:c r="I203" s="129" t="str">
        <x:v>4.20</x:v>
      </x:c>
      <x:c r="J203" s="129" t="str">
        <x:v>0.00</x:v>
      </x:c>
      <x:c r="K203" s="99" t="str">
        <x:v>FX_Gold Tradi</x:v>
      </x:c>
      <x:c r="L203" s="99" t="str">
        <x:v>WIN</x:v>
      </x:c>
    </x:row>
    <x:row r="204">
      <x:c r="A204" s="99" t="str">
        <x:v>2026-06-17 06:23:56</x:v>
      </x:c>
      <x:c r="B204" s="99" t="str">
        <x:v>7976650</x:v>
      </x:c>
      <x:c r="C204" s="99" t="str">
        <x:v>XAUUSD-STD</x:v>
      </x:c>
      <x:c r="D204" s="99" t="str">
        <x:v>BUY</x:v>
      </x:c>
      <x:c r="E204" s="99" t="str">
        <x:v>CLOSED (WIN)</x:v>
      </x:c>
      <x:c r="F204" s="129" t="str">
        <x:v>4325.59</x:v>
      </x:c>
      <x:c r="G204" s="129" t="str">
        <x:v>0.00</x:v>
      </x:c>
      <x:c r="H204" s="129" t="str">
        <x:v>0.00</x:v>
      </x:c>
      <x:c r="I204" s="129" t="str">
        <x:v>1.05</x:v>
      </x:c>
      <x:c r="J204" s="129" t="str">
        <x:v>0.00</x:v>
      </x:c>
      <x:c r="K204" s="99" t="str">
        <x:v>Mobile</x:v>
      </x:c>
      <x:c r="L204" s="99" t="str">
        <x:v>WIN</x:v>
      </x:c>
    </x:row>
    <x:row r="205">
      <x:c r="A205" s="99" t="str">
        <x:v>2026-06-17 06:30:11</x:v>
      </x:c>
      <x:c r="B205" s="99" t="str">
        <x:v>7976792</x:v>
      </x:c>
      <x:c r="C205" s="99" t="str">
        <x:v>XAUUSD-STD</x:v>
      </x:c>
      <x:c r="D205" s="99" t="str">
        <x:v>BUY</x:v>
      </x:c>
      <x:c r="E205" s="99" t="str">
        <x:v>CLOSED (LOSS)</x:v>
      </x:c>
      <x:c r="F205" s="129" t="str">
        <x:v>4323.75</x:v>
      </x:c>
      <x:c r="G205" s="129" t="str">
        <x:v>0.00</x:v>
      </x:c>
      <x:c r="H205" s="129" t="str">
        <x:v>0.00</x:v>
      </x:c>
      <x:c r="I205" s="129" t="str">
        <x:v>0.00</x:v>
      </x:c>
      <x:c r="J205" s="129" t="str">
        <x:v>3.89</x:v>
      </x:c>
      <x:c r="K205" s="99" t="str">
        <x:v>Mobile</x:v>
      </x:c>
      <x:c r="L205" s="99" t="str">
        <x:v>LOSS</x:v>
      </x:c>
    </x:row>
    <x:row r="206">
      <x:c r="A206" s="99" t="str">
        <x:v>2026-06-17 07:12:16</x:v>
      </x:c>
      <x:c r="B206" s="99" t="str">
        <x:v>7981317</x:v>
      </x:c>
      <x:c r="C206" s="99" t="str">
        <x:v>XAUUSD-STD</x:v>
      </x:c>
      <x:c r="D206" s="99" t="str">
        <x:v>BUY</x:v>
      </x:c>
      <x:c r="E206" s="99" t="str">
        <x:v>CLOSED (WIN)</x:v>
      </x:c>
      <x:c r="F206" s="129" t="str">
        <x:v>4332.27</x:v>
      </x:c>
      <x:c r="G206" s="129" t="str">
        <x:v>4315.00</x:v>
      </x:c>
      <x:c r="H206" s="129" t="str">
        <x:v>4332.00</x:v>
      </x:c>
      <x:c r="I206" s="129" t="str">
        <x:v>7.38</x:v>
      </x:c>
      <x:c r="J206" s="129" t="str">
        <x:v>0.00</x:v>
      </x:c>
      <x:c r="K206" s="99" t="str">
        <x:v>GOLD PIPS SHA</x:v>
      </x:c>
      <x:c r="L206" s="99" t="str">
        <x:v>WIN</x:v>
      </x:c>
    </x:row>
    <x:row r="207">
      <x:c r="A207" s="99" t="str">
        <x:v>2026-06-17 07:14:26</x:v>
      </x:c>
      <x:c r="B207" s="99" t="str">
        <x:v>7981454</x:v>
      </x:c>
      <x:c r="C207" s="99" t="str">
        <x:v>XAUUSD-STD</x:v>
      </x:c>
      <x:c r="D207" s="99" t="str">
        <x:v>SELL</x:v>
      </x:c>
      <x:c r="E207" s="99" t="str">
        <x:v>CLOSED (WIN)</x:v>
      </x:c>
      <x:c r="F207" s="129" t="str">
        <x:v>4331.00</x:v>
      </x:c>
      <x:c r="G207" s="129" t="str">
        <x:v>4350.00</x:v>
      </x:c>
      <x:c r="H207" s="129" t="str">
        <x:v>4331.00</x:v>
      </x:c>
      <x:c r="I207" s="129" t="str">
        <x:v>3.53</x:v>
      </x:c>
      <x:c r="J207" s="129" t="str">
        <x:v>0.00</x:v>
      </x:c>
      <x:c r="K207" s="99" t="str">
        <x:v>GOLD SCALPING</x:v>
      </x:c>
      <x:c r="L207" s="99" t="str">
        <x:v>WIN</x:v>
      </x:c>
    </x:row>
    <x:row r="208">
      <x:c r="A208" s="99" t="str">
        <x:v>2026-06-17 07:38:38</x:v>
      </x:c>
      <x:c r="B208" s="99" t="str">
        <x:v>7982205</x:v>
      </x:c>
      <x:c r="C208" s="99" t="str">
        <x:v>XAUUSD-STD</x:v>
      </x:c>
      <x:c r="D208" s="99" t="str">
        <x:v>SELL</x:v>
      </x:c>
      <x:c r="E208" s="99" t="str">
        <x:v>CLOSED (LOSS)</x:v>
      </x:c>
      <x:c r="F208" s="129" t="str">
        <x:v>4338.33</x:v>
      </x:c>
      <x:c r="G208" s="129" t="str">
        <x:v>0.00</x:v>
      </x:c>
      <x:c r="H208" s="129" t="str">
        <x:v>0.00</x:v>
      </x:c>
      <x:c r="I208" s="129" t="str">
        <x:v>0.00</x:v>
      </x:c>
      <x:c r="J208" s="129" t="str">
        <x:v>9.18</x:v>
      </x:c>
      <x:c r="K208" s="99" t="str">
        <x:v>Mobile</x:v>
      </x:c>
      <x:c r="L208" s="99" t="str">
        <x:v>LOSS</x:v>
      </x:c>
    </x:row>
    <x:row r="209">
      <x:c r="A209" s="99" t="str">
        <x:v>2026-06-17 07:54:10</x:v>
      </x:c>
      <x:c r="B209" s="99" t="str">
        <x:v>7989413</x:v>
      </x:c>
      <x:c r="C209" s="99" t="str">
        <x:v>XAUUSD-STD</x:v>
      </x:c>
      <x:c r="D209" s="99" t="str">
        <x:v>BUY</x:v>
      </x:c>
      <x:c r="E209" s="99" t="str">
        <x:v>CLOSED (LOSS)</x:v>
      </x:c>
      <x:c r="F209" s="129" t="str">
        <x:v>4341.49</x:v>
      </x:c>
      <x:c r="G209" s="129" t="str">
        <x:v>0.00</x:v>
      </x:c>
      <x:c r="H209" s="129" t="str">
        <x:v>0.00</x:v>
      </x:c>
      <x:c r="I209" s="129" t="str">
        <x:v>0.00</x:v>
      </x:c>
      <x:c r="J209" s="129" t="str">
        <x:v>9.87</x:v>
      </x:c>
      <x:c r="K209" s="99" t="str">
        <x:v>Mobile</x:v>
      </x:c>
      <x:c r="L209" s="99" t="str">
        <x:v>LOSS</x:v>
      </x:c>
    </x:row>
    <x:row r="210">
      <x:c r="A210" s="99" t="str">
        <x:v>2026-06-17 08:30:43</x:v>
      </x:c>
      <x:c r="B210" s="99" t="str">
        <x:v>7997974</x:v>
      </x:c>
      <x:c r="C210" s="99" t="str">
        <x:v>XAUUSD-STD</x:v>
      </x:c>
      <x:c r="D210" s="99" t="str">
        <x:v>SELL</x:v>
      </x:c>
      <x:c r="E210" s="99" t="str">
        <x:v>CLOSED (LOSS)</x:v>
      </x:c>
      <x:c r="F210" s="129" t="str">
        <x:v>4363.26</x:v>
      </x:c>
      <x:c r="G210" s="129" t="str">
        <x:v>4373.00</x:v>
      </x:c>
      <x:c r="H210" s="129" t="str">
        <x:v>4357.00</x:v>
      </x:c>
      <x:c r="I210" s="129" t="str">
        <x:v>0.00</x:v>
      </x:c>
      <x:c r="J210" s="129" t="str">
        <x:v>4.12</x:v>
      </x:c>
      <x:c r="K210" s="99" t="str">
        <x:v>GOLD ANALYSIS</x:v>
      </x:c>
      <x:c r="L210" s="99" t="str">
        <x:v>LOSS</x:v>
      </x:c>
    </x:row>
    <x:row r="211">
      <x:c r="A211" s="99" t="str">
        <x:v>2026-06-17 08:37:54</x:v>
      </x:c>
      <x:c r="B211" s="99" t="str">
        <x:v>8000378</x:v>
      </x:c>
      <x:c r="C211" s="99" t="str">
        <x:v>XAUUSD-STD</x:v>
      </x:c>
      <x:c r="D211" s="99" t="str">
        <x:v>SELL</x:v>
      </x:c>
      <x:c r="E211" s="99" t="str">
        <x:v>CLOSED (WIN)</x:v>
      </x:c>
      <x:c r="F211" s="129" t="str">
        <x:v>4353.10</x:v>
      </x:c>
      <x:c r="G211" s="129" t="str">
        <x:v>0.00</x:v>
      </x:c>
      <x:c r="H211" s="129" t="str">
        <x:v>0.00</x:v>
      </x:c>
      <x:c r="I211" s="129" t="str">
        <x:v>4.51</x:v>
      </x:c>
      <x:c r="J211" s="129" t="str">
        <x:v>0.00</x:v>
      </x:c>
      <x:c r="K211" s="99" t="str">
        <x:v>Mobile</x:v>
      </x:c>
      <x:c r="L211" s="99" t="str">
        <x:v>WIN</x:v>
      </x:c>
    </x:row>
    <x:row r="212">
      <x:c r="A212" s="99" t="str">
        <x:v>2026-06-17 08:40:14</x:v>
      </x:c>
      <x:c r="B212" s="99" t="str">
        <x:v>8000647</x:v>
      </x:c>
      <x:c r="C212" s="99" t="str">
        <x:v>XAUUSD-STD</x:v>
      </x:c>
      <x:c r="D212" s="99" t="str">
        <x:v>SELL</x:v>
      </x:c>
      <x:c r="E212" s="99" t="str">
        <x:v>CLOSED (WIN)</x:v>
      </x:c>
      <x:c r="F212" s="129" t="str">
        <x:v>4351.29</x:v>
      </x:c>
      <x:c r="G212" s="129" t="str">
        <x:v>0.00</x:v>
      </x:c>
      <x:c r="H212" s="129" t="str">
        <x:v>0.00</x:v>
      </x:c>
      <x:c r="I212" s="129" t="str">
        <x:v>0.76</x:v>
      </x:c>
      <x:c r="J212" s="129" t="str">
        <x:v>0.00</x:v>
      </x:c>
      <x:c r="K212" s="99" t="str">
        <x:v>Mobile</x:v>
      </x:c>
      <x:c r="L212" s="99" t="str">
        <x:v>WIN</x:v>
      </x:c>
    </x:row>
    <x:row r="213">
      <x:c r="A213" s="99" t="str">
        <x:v>2026-06-17 08:41:29</x:v>
      </x:c>
      <x:c r="B213" s="99" t="str">
        <x:v>8000999</x:v>
      </x:c>
      <x:c r="C213" s="99" t="str">
        <x:v>XAUUSD-STD</x:v>
      </x:c>
      <x:c r="D213" s="99" t="str">
        <x:v>BUY</x:v>
      </x:c>
      <x:c r="E213" s="99" t="str">
        <x:v>CLOSED (LOSS)</x:v>
      </x:c>
      <x:c r="F213" s="129" t="str">
        <x:v>4347.96</x:v>
      </x:c>
      <x:c r="G213" s="129" t="str">
        <x:v>4335.00</x:v>
      </x:c>
      <x:c r="H213" s="129" t="str">
        <x:v>4357.00</x:v>
      </x:c>
      <x:c r="I213" s="129" t="str">
        <x:v>0.00</x:v>
      </x:c>
      <x:c r="J213" s="129" t="str">
        <x:v>4.26</x:v>
      </x:c>
      <x:c r="K213" s="99" t="str">
        <x:v>GOLD SCALPER</x:v>
      </x:c>
      <x:c r="L213" s="99" t="str">
        <x:v>LOSS</x:v>
      </x:c>
    </x:row>
    <x:row r="214">
      <x:c r="A214" s="99" t="str">
        <x:v>2026-06-17 11:33:41</x:v>
      </x:c>
      <x:c r="B214" s="99" t="str">
        <x:v>8018338</x:v>
      </x:c>
      <x:c r="C214" s="99" t="str">
        <x:v>XAUUSD-STD</x:v>
      </x:c>
      <x:c r="D214" s="99" t="str">
        <x:v>BUY</x:v>
      </x:c>
      <x:c r="E214" s="99" t="str">
        <x:v>CLOSED (WIN)</x:v>
      </x:c>
      <x:c r="F214" s="129" t="str">
        <x:v>4371.23</x:v>
      </x:c>
      <x:c r="G214" s="129" t="str">
        <x:v>4352.00</x:v>
      </x:c>
      <x:c r="H214" s="129" t="str">
        <x:v>4370.00</x:v>
      </x:c>
      <x:c r="I214" s="129" t="str">
        <x:v>18.85</x:v>
      </x:c>
      <x:c r="J214" s="129" t="str">
        <x:v>0.00</x:v>
      </x:c>
      <x:c r="K214" s="99" t="str">
        <x:v>Scalpingfxno1</x:v>
      </x:c>
      <x:c r="L214" s="99" t="str">
        <x:v>WIN</x:v>
      </x:c>
    </x:row>
    <x:row r="215">
      <x:c r="A215" s="99" t="str">
        <x:v>2026-06-17 13:08:26</x:v>
      </x:c>
      <x:c r="B215" s="99" t="str">
        <x:v>8036850</x:v>
      </x:c>
      <x:c r="C215" s="99" t="str">
        <x:v>XAUUSD-STD</x:v>
      </x:c>
      <x:c r="D215" s="99" t="str">
        <x:v>BUY</x:v>
      </x:c>
      <x:c r="E215" s="99" t="str">
        <x:v>CLOSED (WIN)</x:v>
      </x:c>
      <x:c r="F215" s="129" t="str">
        <x:v>4273.49</x:v>
      </x:c>
      <x:c r="G215" s="129" t="str">
        <x:v>4255.00</x:v>
      </x:c>
      <x:c r="H215" s="129" t="str">
        <x:v>4273.00</x:v>
      </x:c>
      <x:c r="I215" s="129" t="str">
        <x:v>4.91</x:v>
      </x:c>
      <x:c r="J215" s="129" t="str">
        <x:v>0.00</x:v>
      </x:c>
      <x:c r="K215" s="99" t="str">
        <x:v>FX_Gold Tradi</x:v>
      </x:c>
      <x:c r="L215" s="99" t="str">
        <x:v>WIN</x:v>
      </x:c>
    </x:row>
    <x:row r="216">
      <x:c r="A216" s="99" t="str">
        <x:v>2026-06-17 14:10:27</x:v>
      </x:c>
      <x:c r="B216" s="99" t="str">
        <x:v>8046604</x:v>
      </x:c>
      <x:c r="C216" s="99" t="str">
        <x:v>XAUUSD-STD</x:v>
      </x:c>
      <x:c r="D216" s="99" t="str">
        <x:v>SELL</x:v>
      </x:c>
      <x:c r="E216" s="99" t="str">
        <x:v>CLOSED (LOSS)</x:v>
      </x:c>
      <x:c r="F216" s="129" t="str">
        <x:v>4257.00</x:v>
      </x:c>
      <x:c r="G216" s="129" t="str">
        <x:v>4257.00</x:v>
      </x:c>
      <x:c r="H216" s="129" t="str">
        <x:v>4244.00</x:v>
      </x:c>
      <x:c r="I216" s="129" t="str">
        <x:v>0.00</x:v>
      </x:c>
      <x:c r="J216" s="129" t="str">
        <x:v>13.59</x:v>
      </x:c>
      <x:c r="K216" s="99" t="str">
        <x:v>BEST XAU/USD</x:v>
      </x:c>
      <x:c r="L216" s="99" t="str">
        <x:v>LOSS</x:v>
      </x:c>
    </x:row>
    <x:row r="217">
      <x:c r="A217" s="99" t="str">
        <x:v>2026-06-17 20:39:06</x:v>
      </x:c>
      <x:c r="B217" s="99" t="str">
        <x:v>8079616</x:v>
      </x:c>
      <x:c r="C217" s="99" t="str">
        <x:v>XAUUSD-STD</x:v>
      </x:c>
      <x:c r="D217" s="99" t="str">
        <x:v>SELL</x:v>
      </x:c>
      <x:c r="E217" s="99" t="str">
        <x:v>CLOSED (LOSS)</x:v>
      </x:c>
      <x:c r="F217" s="129" t="str">
        <x:v>4320.84</x:v>
      </x:c>
      <x:c r="G217" s="129" t="str">
        <x:v>0.00</x:v>
      </x:c>
      <x:c r="H217" s="129" t="str">
        <x:v>0.00</x:v>
      </x:c>
      <x:c r="I217" s="129" t="str">
        <x:v>0.00</x:v>
      </x:c>
      <x:c r="J217" s="129" t="str">
        <x:v>44.70</x:v>
      </x:c>
      <x:c r="K217" s="99" t="str">
        <x:v>Mobile</x:v>
      </x:c>
      <x:c r="L217" s="99" t="str">
        <x:v>LOSS</x:v>
      </x:c>
    </x:row>
    <x:row r="218">
      <x:c r="A218" s="99" t="str">
        <x:v>2026-06-18 00:27:44</x:v>
      </x:c>
      <x:c r="B218" s="99" t="str">
        <x:v>8094800</x:v>
      </x:c>
      <x:c r="C218" s="99" t="str">
        <x:v>XAUUSD-STD</x:v>
      </x:c>
      <x:c r="D218" s="99" t="str">
        <x:v>SELL</x:v>
      </x:c>
      <x:c r="E218" s="99" t="str">
        <x:v>CLOSED (WIN)</x:v>
      </x:c>
      <x:c r="F218" s="129" t="str">
        <x:v>4301.00</x:v>
      </x:c>
      <x:c r="G218" s="129" t="str">
        <x:v>4315.00</x:v>
      </x:c>
      <x:c r="H218" s="129" t="str">
        <x:v>4301.00</x:v>
      </x:c>
      <x:c r="I218" s="129" t="str">
        <x:v>4.23</x:v>
      </x:c>
      <x:c r="J218" s="129" t="str">
        <x:v>0.00</x:v>
      </x:c>
      <x:c r="K218" s="99" t="str">
        <x:v>BEST XAU/USD</x:v>
      </x:c>
      <x:c r="L218" s="99" t="str">
        <x:v>WIN</x:v>
      </x:c>
    </x:row>
    <x:row r="219">
      <x:c r="A219" s="99" t="str">
        <x:v>2026-06-18 02:14:15</x:v>
      </x:c>
      <x:c r="B219" s="99" t="str">
        <x:v>8099929</x:v>
      </x:c>
      <x:c r="C219" s="99" t="str">
        <x:v>XAUUSD-STD</x:v>
      </x:c>
      <x:c r="D219" s="99" t="str">
        <x:v>BUY</x:v>
      </x:c>
      <x:c r="E219" s="99" t="str">
        <x:v>CLOSED (LOSS)</x:v>
      </x:c>
      <x:c r="F219" s="129" t="str">
        <x:v>4285.65</x:v>
      </x:c>
      <x:c r="G219" s="129" t="str">
        <x:v>4280.00</x:v>
      </x:c>
      <x:c r="H219" s="129" t="str">
        <x:v>4292.00</x:v>
      </x:c>
      <x:c r="I219" s="129" t="str">
        <x:v>0.00</x:v>
      </x:c>
      <x:c r="J219" s="129" t="str">
        <x:v>6.14</x:v>
      </x:c>
      <x:c r="K219" s="99" t="str">
        <x:v>JACKY GOLD PR</x:v>
      </x:c>
      <x:c r="L219" s="99" t="str">
        <x:v>LOSS</x:v>
      </x:c>
    </x:row>
    <x:row r="220">
      <x:c r="A220" s="99" t="str">
        <x:v>2026-06-18 02:40:58</x:v>
      </x:c>
      <x:c r="B220" s="99" t="str">
        <x:v>8101351</x:v>
      </x:c>
      <x:c r="C220" s="99" t="str">
        <x:v>XAUUSD-STD</x:v>
      </x:c>
      <x:c r="D220" s="99" t="str">
        <x:v>SELL</x:v>
      </x:c>
      <x:c r="E220" s="99" t="str">
        <x:v>CLOSED (WIN)</x:v>
      </x:c>
      <x:c r="F220" s="129" t="str">
        <x:v>4283.23</x:v>
      </x:c>
      <x:c r="G220" s="129" t="str">
        <x:v>0.00</x:v>
      </x:c>
      <x:c r="H220" s="129" t="str">
        <x:v>0.00</x:v>
      </x:c>
      <x:c r="I220" s="129" t="str">
        <x:v>0.25</x:v>
      </x:c>
      <x:c r="J220" s="129" t="str">
        <x:v>0.00</x:v>
      </x:c>
      <x:c r="K220" s="99" t="str">
        <x:v>Mobile</x:v>
      </x:c>
      <x:c r="L220" s="99" t="str">
        <x:v>WIN</x:v>
      </x:c>
    </x:row>
    <x:row r="221">
      <x:c r="A221" s="99" t="str">
        <x:v>2026-06-18 02:44:23</x:v>
      </x:c>
      <x:c r="B221" s="99" t="str">
        <x:v>8101390</x:v>
      </x:c>
      <x:c r="C221" s="99" t="str">
        <x:v>XAUUSD-STD</x:v>
      </x:c>
      <x:c r="D221" s="99" t="str">
        <x:v>SELL</x:v>
      </x:c>
      <x:c r="E221" s="99" t="str">
        <x:v>CLOSED (WIN)</x:v>
      </x:c>
      <x:c r="F221" s="129" t="str">
        <x:v>4282.11</x:v>
      </x:c>
      <x:c r="G221" s="129" t="str">
        <x:v>0.00</x:v>
      </x:c>
      <x:c r="H221" s="129" t="str">
        <x:v>0.00</x:v>
      </x:c>
      <x:c r="I221" s="129" t="str">
        <x:v>0.28</x:v>
      </x:c>
      <x:c r="J221" s="129" t="str">
        <x:v>0.00</x:v>
      </x:c>
      <x:c r="K221" s="99" t="str">
        <x:v>Mobile</x:v>
      </x:c>
      <x:c r="L221" s="99" t="str">
        <x:v>WIN</x:v>
      </x:c>
    </x:row>
    <x:row r="222">
      <x:c r="A222" s="99" t="str">
        <x:v>2026-06-18 02:46:08</x:v>
      </x:c>
      <x:c r="B222" s="99" t="str">
        <x:v>8101570</x:v>
      </x:c>
      <x:c r="C222" s="99" t="str">
        <x:v>XAUUSD-STD</x:v>
      </x:c>
      <x:c r="D222" s="99" t="str">
        <x:v>SELL</x:v>
      </x:c>
      <x:c r="E222" s="99" t="str">
        <x:v>CLOSED (WIN)</x:v>
      </x:c>
      <x:c r="F222" s="129" t="str">
        <x:v>4280.02</x:v>
      </x:c>
      <x:c r="G222" s="129" t="str">
        <x:v>0.00</x:v>
      </x:c>
      <x:c r="H222" s="129" t="str">
        <x:v>0.00</x:v>
      </x:c>
      <x:c r="I222" s="129" t="str">
        <x:v>1.09</x:v>
      </x:c>
      <x:c r="J222" s="129" t="str">
        <x:v>0.00</x:v>
      </x:c>
      <x:c r="K222" s="99" t="str">
        <x:v>Mobile</x:v>
      </x:c>
      <x:c r="L222" s="99" t="str">
        <x:v>WIN</x:v>
      </x:c>
    </x:row>
    <x:row r="223">
      <x:c r="A223" s="99" t="str">
        <x:v>2026-06-18 02:46:33</x:v>
      </x:c>
      <x:c r="B223" s="99" t="str">
        <x:v>8101482</x:v>
      </x:c>
      <x:c r="C223" s="99" t="str">
        <x:v>XAUUSD-STD</x:v>
      </x:c>
      <x:c r="D223" s="99" t="str">
        <x:v>BUY</x:v>
      </x:c>
      <x:c r="E223" s="99" t="str">
        <x:v>CLOSED (LOSS)</x:v>
      </x:c>
      <x:c r="F223" s="129" t="str">
        <x:v>4277.92</x:v>
      </x:c>
      <x:c r="G223" s="129" t="str">
        <x:v>0.00</x:v>
      </x:c>
      <x:c r="H223" s="129" t="str">
        <x:v>0.00</x:v>
      </x:c>
      <x:c r="I223" s="129" t="str">
        <x:v>0.00</x:v>
      </x:c>
      <x:c r="J223" s="129" t="str">
        <x:v>6.75</x:v>
      </x:c>
      <x:c r="K223" s="99" t="str">
        <x:v>Mobile</x:v>
      </x:c>
      <x:c r="L223" s="99" t="str">
        <x:v>LOSS</x:v>
      </x:c>
    </x:row>
    <x:row r="224">
      <x:c r="A224" s="99" t="str">
        <x:v>2026-06-18 02:48:13</x:v>
      </x:c>
      <x:c r="B224" s="99" t="str">
        <x:v>8101758</x:v>
      </x:c>
      <x:c r="C224" s="99" t="str">
        <x:v>XAUUSD-STD</x:v>
      </x:c>
      <x:c r="D224" s="99" t="str">
        <x:v>SELL</x:v>
      </x:c>
      <x:c r="E224" s="99" t="str">
        <x:v>CLOSED (LOSS)</x:v>
      </x:c>
      <x:c r="F224" s="129" t="str">
        <x:v>4281.09</x:v>
      </x:c>
      <x:c r="G224" s="129" t="str">
        <x:v>0.00</x:v>
      </x:c>
      <x:c r="H224" s="129" t="str">
        <x:v>0.00</x:v>
      </x:c>
      <x:c r="I224" s="129" t="str">
        <x:v>0.00</x:v>
      </x:c>
      <x:c r="J224" s="129" t="str">
        <x:v>3.88</x:v>
      </x:c>
      <x:c r="K224" s="99" t="str">
        <x:v>Mobile</x:v>
      </x:c>
      <x:c r="L224" s="99" t="str">
        <x:v>LOSS</x:v>
      </x:c>
    </x:row>
    <x:row r="225">
      <x:c r="A225" s="99" t="str">
        <x:v>2026-06-18 02:53:19</x:v>
      </x:c>
      <x:c r="B225" s="99" t="str">
        <x:v>8101978</x:v>
      </x:c>
      <x:c r="C225" s="99" t="str">
        <x:v>XAUUSD-STD</x:v>
      </x:c>
      <x:c r="D225" s="99" t="str">
        <x:v>SELL</x:v>
      </x:c>
      <x:c r="E225" s="99" t="str">
        <x:v>CLOSED (WIN)</x:v>
      </x:c>
      <x:c r="F225" s="129" t="str">
        <x:v>4276.09</x:v>
      </x:c>
      <x:c r="G225" s="129" t="str">
        <x:v>0.00</x:v>
      </x:c>
      <x:c r="H225" s="129" t="str">
        <x:v>0.00</x:v>
      </x:c>
      <x:c r="I225" s="129" t="str">
        <x:v>0.90</x:v>
      </x:c>
      <x:c r="J225" s="129" t="str">
        <x:v>0.00</x:v>
      </x:c>
      <x:c r="K225" s="99" t="str">
        <x:v>Mobile</x:v>
      </x:c>
      <x:c r="L225" s="99" t="str">
        <x:v>WIN</x:v>
      </x:c>
    </x:row>
    <x:row r="226">
      <x:c r="A226" s="99" t="str">
        <x:v>2026-06-18 03:00:50</x:v>
      </x:c>
      <x:c r="B226" s="99" t="str">
        <x:v>8102903</x:v>
      </x:c>
      <x:c r="C226" s="99" t="str">
        <x:v>XAUUSD-STD</x:v>
      </x:c>
      <x:c r="D226" s="99" t="str">
        <x:v>SELL</x:v>
      </x:c>
      <x:c r="E226" s="99" t="str">
        <x:v>CLOSED (LOSS)</x:v>
      </x:c>
      <x:c r="F226" s="129" t="str">
        <x:v>4262.86</x:v>
      </x:c>
      <x:c r="G226" s="129" t="str">
        <x:v>0.00</x:v>
      </x:c>
      <x:c r="H226" s="129" t="str">
        <x:v>0.00</x:v>
      </x:c>
      <x:c r="I226" s="129" t="str">
        <x:v>0.00</x:v>
      </x:c>
      <x:c r="J226" s="129" t="str">
        <x:v>1.44</x:v>
      </x:c>
      <x:c r="K226" s="99" t="str">
        <x:v>Mobile</x:v>
      </x:c>
      <x:c r="L226" s="99" t="str">
        <x:v>LOSS</x:v>
      </x:c>
    </x:row>
    <x:row r="227">
      <x:c r="A227" s="99" t="str">
        <x:v>2026-06-18 03:50:20</x:v>
      </x:c>
      <x:c r="B227" s="99" t="str">
        <x:v>8103784</x:v>
      </x:c>
      <x:c r="C227" s="99" t="str">
        <x:v>XAUUSD-STD</x:v>
      </x:c>
      <x:c r="D227" s="99" t="str">
        <x:v>SELL</x:v>
      </x:c>
      <x:c r="E227" s="99" t="str">
        <x:v>CLOSED (LOSS)</x:v>
      </x:c>
      <x:c r="F227" s="129" t="str">
        <x:v>4270.36</x:v>
      </x:c>
      <x:c r="G227" s="129" t="str">
        <x:v>0.00</x:v>
      </x:c>
      <x:c r="H227" s="129" t="str">
        <x:v>0.00</x:v>
      </x:c>
      <x:c r="I227" s="129" t="str">
        <x:v>0.00</x:v>
      </x:c>
      <x:c r="J227" s="129" t="str">
        <x:v>26.74</x:v>
      </x:c>
      <x:c r="K227" s="99" t="str">
        <x:v>Mobile</x:v>
      </x:c>
      <x:c r="L227" s="99" t="str">
        <x:v>LOSS</x:v>
      </x:c>
    </x:row>
    <x:row r="228">
      <x:c r="A228" s="99" t="str">
        <x:v>2026-06-18 12:51:06</x:v>
      </x:c>
      <x:c r="B228" s="99" t="str">
        <x:v>8154495</x:v>
      </x:c>
      <x:c r="C228" s="99" t="str">
        <x:v>XAUUSD-STD</x:v>
      </x:c>
      <x:c r="D228" s="99" t="str">
        <x:v>SELL</x:v>
      </x:c>
      <x:c r="E228" s="99" t="str">
        <x:v>CLOSED (WIN)</x:v>
      </x:c>
      <x:c r="F228" s="129" t="str">
        <x:v>4219.78</x:v>
      </x:c>
      <x:c r="G228" s="129" t="str">
        <x:v>4345.00</x:v>
      </x:c>
      <x:c r="H228" s="129" t="str">
        <x:v>4220.00</x:v>
      </x:c>
      <x:c r="I228" s="129" t="str">
        <x:v>14.45</x:v>
      </x:c>
      <x:c r="J228" s="129" t="str">
        <x:v>0.00</x:v>
      </x:c>
      <x:c r="K228" s="99" t="str">
        <x:v>Scalpingfxno1</x:v>
      </x:c>
      <x:c r="L228" s="99" t="str">
        <x:v>WIN</x:v>
      </x:c>
    </x:row>
    <x:row r="229">
      <x:c r="A229" s="99" t="str">
        <x:v>2026-06-18 19:34:46</x:v>
      </x:c>
      <x:c r="B229" s="99" t="str">
        <x:v>8183090</x:v>
      </x:c>
      <x:c r="C229" s="99" t="str">
        <x:v>XAUUSD-STD</x:v>
      </x:c>
      <x:c r="D229" s="99" t="str">
        <x:v>SELL</x:v>
      </x:c>
      <x:c r="E229" s="99" t="str">
        <x:v>CLOSED (WIN)</x:v>
      </x:c>
      <x:c r="F229" s="129" t="str">
        <x:v>4187.87</x:v>
      </x:c>
      <x:c r="G229" s="129" t="str">
        <x:v>4200.00</x:v>
      </x:c>
      <x:c r="H229" s="129" t="str">
        <x:v>4187.00</x:v>
      </x:c>
      <x:c r="I229" s="129" t="str">
        <x:v>3.72</x:v>
      </x:c>
      <x:c r="J229" s="129" t="str">
        <x:v>0.00</x:v>
      </x:c>
      <x:c r="K229" s="99" t="str">
        <x:v>BLUE PIPSTM</x:v>
      </x:c>
      <x:c r="L229" s="99" t="str">
        <x:v>WIN</x:v>
      </x:c>
    </x:row>
    <x:row r="230">
      <x:c r="A230" s="99" t="str">
        <x:v>2026-06-18 22:06:07</x:v>
      </x:c>
      <x:c r="B230" s="99" t="str">
        <x:v>8200178</x:v>
      </x:c>
      <x:c r="C230" s="99" t="str">
        <x:v>XAUUSD-STD</x:v>
      </x:c>
      <x:c r="D230" s="99" t="str">
        <x:v>BUY</x:v>
      </x:c>
      <x:c r="E230" s="99" t="str">
        <x:v>CLOSED (WIN)</x:v>
      </x:c>
      <x:c r="F230" s="129" t="str">
        <x:v>4146.00</x:v>
      </x:c>
      <x:c r="G230" s="129" t="str">
        <x:v>4134.00</x:v>
      </x:c>
      <x:c r="H230" s="129" t="str">
        <x:v>4146.00</x:v>
      </x:c>
      <x:c r="I230" s="129" t="str">
        <x:v>2.83</x:v>
      </x:c>
      <x:c r="J230" s="129" t="str">
        <x:v>0.00</x:v>
      </x:c>
      <x:c r="K230" s="99" t="str">
        <x:v>JACKY GOLD PR</x:v>
      </x:c>
      <x:c r="L230" s="99" t="str">
        <x:v>WIN</x:v>
      </x:c>
    </x:row>
    <x:row r="231">
      <x:c r="A231" s="99" t="str">
        <x:v>2026-06-18 22:06:57</x:v>
      </x:c>
      <x:c r="B231" s="99" t="str">
        <x:v>8199778</x:v>
      </x:c>
      <x:c r="C231" s="99" t="str">
        <x:v>XAUUSD-STD</x:v>
      </x:c>
      <x:c r="D231" s="99" t="str">
        <x:v>BUY</x:v>
      </x:c>
      <x:c r="E231" s="99" t="str">
        <x:v>CLOSED (WIN)</x:v>
      </x:c>
      <x:c r="F231" s="129" t="str">
        <x:v>4147.00</x:v>
      </x:c>
      <x:c r="G231" s="129" t="str">
        <x:v>4135.00</x:v>
      </x:c>
      <x:c r="H231" s="129" t="str">
        <x:v>4147.00</x:v>
      </x:c>
      <x:c r="I231" s="129" t="str">
        <x:v>4.25</x:v>
      </x:c>
      <x:c r="J231" s="129" t="str">
        <x:v>0.00</x:v>
      </x:c>
      <x:c r="K231" s="99" t="str">
        <x:v>BEST XAU/USD</x:v>
      </x:c>
      <x:c r="L231" s="99" t="str">
        <x:v>WIN</x:v>
      </x:c>
    </x:row>
    <x:row r="232">
      <x:c r="A232" s="99" t="str">
        <x:v>2026-06-18 23:57:58</x:v>
      </x:c>
      <x:c r="B232" s="99" t="str">
        <x:v>8211652</x:v>
      </x:c>
      <x:c r="C232" s="99" t="str">
        <x:v>XAUUSD-STD</x:v>
      </x:c>
      <x:c r="D232" s="99" t="str">
        <x:v>SELL</x:v>
      </x:c>
      <x:c r="E232" s="99" t="str">
        <x:v>CLOSED (WIN)</x:v>
      </x:c>
      <x:c r="F232" s="129" t="str">
        <x:v>4137.80</x:v>
      </x:c>
      <x:c r="G232" s="129" t="str">
        <x:v>0.00</x:v>
      </x:c>
      <x:c r="H232" s="129" t="str">
        <x:v>0.00</x:v>
      </x:c>
      <x:c r="I232" s="129" t="str">
        <x:v>5.59</x:v>
      </x:c>
      <x:c r="J232" s="129" t="str">
        <x:v>0.00</x:v>
      </x:c>
      <x:c r="K232" s="99" t="str">
        <x:v>Mobile</x:v>
      </x:c>
      <x:c r="L232" s="99" t="str">
        <x:v>WIN</x:v>
      </x:c>
    </x:row>
    <x:row r="233">
      <x:c r="A233" s="99" t="str">
        <x:v>2026-06-19 00:16:05</x:v>
      </x:c>
      <x:c r="B233" s="99" t="str">
        <x:v>8213046</x:v>
      </x:c>
      <x:c r="C233" s="99" t="str">
        <x:v>XAUUSD-STD</x:v>
      </x:c>
      <x:c r="D233" s="99" t="str">
        <x:v>SELL</x:v>
      </x:c>
      <x:c r="E233" s="99" t="str">
        <x:v>CLOSED (WIN)</x:v>
      </x:c>
      <x:c r="F233" s="129" t="str">
        <x:v>4142.00</x:v>
      </x:c>
      <x:c r="G233" s="129" t="str">
        <x:v>4154.00</x:v>
      </x:c>
      <x:c r="H233" s="129" t="str">
        <x:v>4142.00</x:v>
      </x:c>
      <x:c r="I233" s="129" t="str">
        <x:v>2.83</x:v>
      </x:c>
      <x:c r="J233" s="129" t="str">
        <x:v>0.00</x:v>
      </x:c>
      <x:c r="K233" s="99" t="str">
        <x:v>JACKY GOLD PR</x:v>
      </x:c>
      <x:c r="L233" s="99" t="str">
        <x:v>WIN</x:v>
      </x:c>
    </x:row>
    <x:row r="234">
      <x:c r="A234" s="99" t="str">
        <x:v>2026-06-19 00:33:21</x:v>
      </x:c>
      <x:c r="B234" s="99" t="str">
        <x:v>8211953</x:v>
      </x:c>
      <x:c r="C234" s="99" t="str">
        <x:v>XAUUSD-STD</x:v>
      </x:c>
      <x:c r="D234" s="99" t="str">
        <x:v>SELL</x:v>
      </x:c>
      <x:c r="E234" s="99" t="str">
        <x:v>CLOSED (WIN)</x:v>
      </x:c>
      <x:c r="F234" s="129" t="str">
        <x:v>4138.00</x:v>
      </x:c>
      <x:c r="G234" s="129" t="str">
        <x:v>4152.00</x:v>
      </x:c>
      <x:c r="H234" s="129" t="str">
        <x:v>4138.00</x:v>
      </x:c>
      <x:c r="I234" s="129" t="str">
        <x:v>5.11</x:v>
      </x:c>
      <x:c r="J234" s="129" t="str">
        <x:v>0.00</x:v>
      </x:c>
      <x:c r="K234" s="99" t="str">
        <x:v>BEST XAU/USD</x:v>
      </x:c>
      <x:c r="L234" s="99" t="str">
        <x:v>WIN</x:v>
      </x:c>
    </x:row>
    <x:row r="235">
      <x:c r="A235" s="99" t="str">
        <x:v>2026-06-19 06:39:53</x:v>
      </x:c>
      <x:c r="B235" s="99" t="str">
        <x:v>8220539</x:v>
      </x:c>
      <x:c r="C235" s="99" t="str">
        <x:v>XAUUSD-STD</x:v>
      </x:c>
      <x:c r="D235" s="99" t="str">
        <x:v>BUY</x:v>
      </x:c>
      <x:c r="E235" s="99" t="str">
        <x:v>CLOSED (WIN)</x:v>
      </x:c>
      <x:c r="F235" s="129" t="str">
        <x:v>4176.50</x:v>
      </x:c>
      <x:c r="G235" s="129" t="str">
        <x:v>0.00</x:v>
      </x:c>
      <x:c r="H235" s="129" t="str">
        <x:v>0.00</x:v>
      </x:c>
      <x:c r="I235" s="129" t="str">
        <x:v>1.61</x:v>
      </x:c>
      <x:c r="J235" s="129" t="str">
        <x:v>0.00</x:v>
      </x:c>
      <x:c r="K235" s="99" t="str">
        <x:v>Mobile</x:v>
      </x:c>
      <x:c r="L235" s="99" t="str">
        <x:v>WIN</x:v>
      </x:c>
    </x:row>
    <x:row r="236">
      <x:c r="A236" s="99" t="str">
        <x:v>2026-06-19 06:39:53</x:v>
      </x:c>
      <x:c r="B236" s="99" t="str">
        <x:v>8222662</x:v>
      </x:c>
      <x:c r="C236" s="99" t="str">
        <x:v>XAUUSD-STD</x:v>
      </x:c>
      <x:c r="D236" s="99" t="str">
        <x:v>SELL</x:v>
      </x:c>
      <x:c r="E236" s="99" t="str">
        <x:v>CLOSED (WIN)</x:v>
      </x:c>
      <x:c r="F236" s="129" t="str">
        <x:v>4163.03</x:v>
      </x:c>
      <x:c r="G236" s="129" t="str">
        <x:v>0.00</x:v>
      </x:c>
      <x:c r="H236" s="129" t="str">
        <x:v>0.00</x:v>
      </x:c>
      <x:c r="I236" s="129" t="str">
        <x:v>2.63</x:v>
      </x:c>
      <x:c r="J236" s="129" t="str">
        <x:v>0.00</x:v>
      </x:c>
      <x:c r="K236" s="99" t="str">
        <x:v>Mobile</x:v>
      </x:c>
      <x:c r="L236" s="99" t="str">
        <x:v>WIN</x:v>
      </x:c>
    </x:row>
    <x:row r="237">
      <x:c r="A237" s="99" t="str">
        <x:v>2026-06-19 06:39:53</x:v>
      </x:c>
      <x:c r="B237" s="99" t="str">
        <x:v>8223818</x:v>
      </x:c>
      <x:c r="C237" s="99" t="str">
        <x:v>XAUUSD-STD</x:v>
      </x:c>
      <x:c r="D237" s="99" t="str">
        <x:v>SELL</x:v>
      </x:c>
      <x:c r="E237" s="99" t="str">
        <x:v>CLOSED (WIN)</x:v>
      </x:c>
      <x:c r="F237" s="129" t="str">
        <x:v>4160.82</x:v>
      </x:c>
      <x:c r="G237" s="129" t="str">
        <x:v>0.00</x:v>
      </x:c>
      <x:c r="H237" s="129" t="str">
        <x:v>0.00</x:v>
      </x:c>
      <x:c r="I237" s="129" t="str">
        <x:v>0.62</x:v>
      </x:c>
      <x:c r="J237" s="129" t="str">
        <x:v>0.00</x:v>
      </x:c>
      <x:c r="K237" s="99" t="str">
        <x:v>Mobile</x:v>
      </x:c>
      <x:c r="L237" s="99" t="str">
        <x:v>WIN</x:v>
      </x:c>
    </x:row>
    <x:row r="238">
      <x:c r="A238" s="99" t="str">
        <x:v>2026-06-19 06:39:53</x:v>
      </x:c>
      <x:c r="B238" s="99" t="str">
        <x:v>8224384</x:v>
      </x:c>
      <x:c r="C238" s="99" t="str">
        <x:v>XAUUSD-STD</x:v>
      </x:c>
      <x:c r="D238" s="99" t="str">
        <x:v>SELL</x:v>
      </x:c>
      <x:c r="E238" s="99" t="str">
        <x:v>CLOSED (WIN)</x:v>
      </x:c>
      <x:c r="F238" s="129" t="str">
        <x:v>4154.53</x:v>
      </x:c>
      <x:c r="G238" s="129" t="str">
        <x:v>0.00</x:v>
      </x:c>
      <x:c r="H238" s="129" t="str">
        <x:v>0.00</x:v>
      </x:c>
      <x:c r="I238" s="129" t="str">
        <x:v>3.14</x:v>
      </x:c>
      <x:c r="J238" s="129" t="str">
        <x:v>0.00</x:v>
      </x:c>
      <x:c r="K238" s="99" t="str">
        <x:v>Mobile</x:v>
      </x:c>
      <x:c r="L238" s="99" t="str">
        <x:v>WIN</x:v>
      </x:c>
    </x:row>
    <x:row r="239">
      <x:c r="A239" s="99" t="str">
        <x:v>2026-06-19 06:39:53</x:v>
      </x:c>
      <x:c r="B239" s="99" t="str">
        <x:v>8228575</x:v>
      </x:c>
      <x:c r="C239" s="99" t="str">
        <x:v>XAUUSD-STD</x:v>
      </x:c>
      <x:c r="D239" s="99" t="str">
        <x:v>SELL</x:v>
      </x:c>
      <x:c r="E239" s="99" t="str">
        <x:v>CLOSED (LOSS)</x:v>
      </x:c>
      <x:c r="F239" s="129" t="str">
        <x:v>4150.51</x:v>
      </x:c>
      <x:c r="G239" s="129" t="str">
        <x:v>0.00</x:v>
      </x:c>
      <x:c r="H239" s="129" t="str">
        <x:v>0.00</x:v>
      </x:c>
      <x:c r="I239" s="129" t="str">
        <x:v>0.00</x:v>
      </x:c>
      <x:c r="J239" s="129" t="str">
        <x:v>24.20</x:v>
      </x:c>
      <x:c r="K239" s="99" t="str">
        <x:v>Mobile</x:v>
      </x:c>
      <x:c r="L239" s="99" t="str">
        <x:v>LOSS</x:v>
      </x:c>
    </x:row>
    <x:row r="240">
      <x:c r="A240" s="99" t="str">
        <x:v>2026-06-19 06:39:53</x:v>
      </x:c>
      <x:c r="B240" s="99" t="str">
        <x:v>8230179</x:v>
      </x:c>
      <x:c r="C240" s="99" t="str">
        <x:v>XAUUSD-STD</x:v>
      </x:c>
      <x:c r="D240" s="99" t="str">
        <x:v>BUY</x:v>
      </x:c>
      <x:c r="E240" s="99" t="str">
        <x:v>CLOSED (WIN)</x:v>
      </x:c>
      <x:c r="F240" s="129" t="str">
        <x:v>4157.25</x:v>
      </x:c>
      <x:c r="G240" s="129" t="str">
        <x:v>0.00</x:v>
      </x:c>
      <x:c r="H240" s="129" t="str">
        <x:v>0.00</x:v>
      </x:c>
      <x:c r="I240" s="129" t="str">
        <x:v>0.65</x:v>
      </x:c>
      <x:c r="J240" s="129" t="str">
        <x:v>0.00</x:v>
      </x:c>
      <x:c r="K240" s="99" t="str">
        <x:v>Mobile</x:v>
      </x:c>
      <x:c r="L240" s="99" t="str">
        <x:v>WIN</x:v>
      </x:c>
    </x:row>
    <x:row r="241">
      <x:c r="A241" s="99" t="str">
        <x:v>2026-06-19 06:39:53</x:v>
      </x:c>
      <x:c r="B241" s="99" t="str">
        <x:v>8230706</x:v>
      </x:c>
      <x:c r="C241" s="99" t="str">
        <x:v>XAUUSD-STD</x:v>
      </x:c>
      <x:c r="D241" s="99" t="str">
        <x:v>BUY</x:v>
      </x:c>
      <x:c r="E241" s="99" t="str">
        <x:v>CLOSED (WIN)</x:v>
      </x:c>
      <x:c r="F241" s="129" t="str">
        <x:v>4157.90</x:v>
      </x:c>
      <x:c r="G241" s="129" t="str">
        <x:v>0.00</x:v>
      </x:c>
      <x:c r="H241" s="129" t="str">
        <x:v>0.00</x:v>
      </x:c>
      <x:c r="I241" s="129" t="str">
        <x:v>0.45</x:v>
      </x:c>
      <x:c r="J241" s="129" t="str">
        <x:v>0.00</x:v>
      </x:c>
      <x:c r="K241" s="99" t="str">
        <x:v>Mobile</x:v>
      </x:c>
      <x:c r="L241" s="99" t="str">
        <x:v>WIN</x:v>
      </x:c>
    </x:row>
    <x:row r="242">
      <x:c r="A242" s="99" t="str">
        <x:v>2026-06-19 06:51:54</x:v>
      </x:c>
      <x:c r="B242" s="99" t="str">
        <x:v>8233099</x:v>
      </x:c>
      <x:c r="C242" s="99" t="str">
        <x:v>XAUUSD-STD</x:v>
      </x:c>
      <x:c r="D242" s="99" t="str">
        <x:v>SELL</x:v>
      </x:c>
      <x:c r="E242" s="99" t="str">
        <x:v>CLOSED (LOSS)</x:v>
      </x:c>
      <x:c r="F242" s="129" t="str">
        <x:v>4169.77</x:v>
      </x:c>
      <x:c r="G242" s="129" t="str">
        <x:v>0.00</x:v>
      </x:c>
      <x:c r="H242" s="129" t="str">
        <x:v>0.00</x:v>
      </x:c>
      <x:c r="I242" s="129" t="str">
        <x:v>0.00</x:v>
      </x:c>
      <x:c r="J242" s="129" t="str">
        <x:v>29.30</x:v>
      </x:c>
      <x:c r="K242" s="99" t="str">
        <x:v>Mobile</x:v>
      </x:c>
      <x:c r="L242" s="99" t="str">
        <x:v>LOSS</x:v>
      </x:c>
    </x:row>
    <x:row r="243">
      <x:c r="A243" s="99" t="str">
        <x:v>2026-06-19 06:56:39</x:v>
      </x:c>
      <x:c r="B243" s="99" t="str">
        <x:v>8234667</x:v>
      </x:c>
      <x:c r="C243" s="99" t="str">
        <x:v>XAUUSD-STD</x:v>
      </x:c>
      <x:c r="D243" s="99" t="str">
        <x:v>SELL</x:v>
      </x:c>
      <x:c r="E243" s="99" t="str">
        <x:v>CLOSED (LOSS)</x:v>
      </x:c>
      <x:c r="F243" s="129" t="str">
        <x:v>4177.36</x:v>
      </x:c>
      <x:c r="G243" s="129" t="str">
        <x:v>4188.00</x:v>
      </x:c>
      <x:c r="H243" s="129" t="str">
        <x:v>4170.00</x:v>
      </x:c>
      <x:c r="I243" s="129" t="str">
        <x:v>0.00</x:v>
      </x:c>
      <x:c r="J243" s="129" t="str">
        <x:v>4.75</x:v>
      </x:c>
      <x:c r="K243" s="99" t="str">
        <x:v>GOLD PIPS SHA</x:v>
      </x:c>
      <x:c r="L243" s="99" t="str">
        <x:v>LOSS</x:v>
      </x:c>
    </x:row>
    <x:row r="244">
      <x:c r="A244" s="99" t="str">
        <x:v>2026-06-22 03:04:05</x:v>
      </x:c>
      <x:c r="B244" s="99" t="str">
        <x:v>8327951</x:v>
      </x:c>
      <x:c r="C244" s="99" t="str">
        <x:v>XAUUSD-STD</x:v>
      </x:c>
      <x:c r="D244" s="99" t="str">
        <x:v>SELL</x:v>
      </x:c>
      <x:c r="E244" s="99" t="str">
        <x:v>CLOSED (LOSS)</x:v>
      </x:c>
      <x:c r="F244" s="129" t="str">
        <x:v>4200.52</x:v>
      </x:c>
      <x:c r="G244" s="129" t="str">
        <x:v>4200.00</x:v>
      </x:c>
      <x:c r="H244" s="129" t="str">
        <x:v>4188.00</x:v>
      </x:c>
      <x:c r="I244" s="129" t="str">
        <x:v>0.00</x:v>
      </x:c>
      <x:c r="J244" s="129" t="str">
        <x:v>14.92</x:v>
      </x:c>
      <x:c r="K244" s="99" t="str">
        <x:v>JACKY GOLD PR</x:v>
      </x:c>
      <x:c r="L244" s="99" t="str">
        <x:v>LOSS</x:v>
      </x:c>
    </x:row>
    <x:row r="245">
      <x:c r="A245" s="99" t="str">
        <x:v>2026-06-22 04:30:19</x:v>
      </x:c>
      <x:c r="B245" s="99" t="str">
        <x:v>8332619</x:v>
      </x:c>
      <x:c r="C245" s="99" t="str">
        <x:v>XAUUSD-STD</x:v>
      </x:c>
      <x:c r="D245" s="99" t="str">
        <x:v>SELL</x:v>
      </x:c>
      <x:c r="E245" s="99" t="str">
        <x:v>CLOSED (LOSS)</x:v>
      </x:c>
      <x:c r="F245" s="129" t="str">
        <x:v>4210.10</x:v>
      </x:c>
      <x:c r="G245" s="129" t="str">
        <x:v>4225.00</x:v>
      </x:c>
      <x:c r="H245" s="129" t="str">
        <x:v>4207.00</x:v>
      </x:c>
      <x:c r="I245" s="129" t="str">
        <x:v>0.00</x:v>
      </x:c>
      <x:c r="J245" s="129" t="str">
        <x:v>0.14</x:v>
      </x:c>
      <x:c r="K245" s="99" t="str">
        <x:v>GOLD ANALYSIS</x:v>
      </x:c>
      <x:c r="L245" s="99" t="str">
        <x:v>LOSS</x:v>
      </x:c>
    </x:row>
    <x:row r="246">
      <x:c r="A246" s="99" t="str">
        <x:v>2026-06-22 04:33:44</x:v>
      </x:c>
      <x:c r="B246" s="99" t="str">
        <x:v>8331640</x:v>
      </x:c>
      <x:c r="C246" s="99" t="str">
        <x:v>XAUUSD-STD</x:v>
      </x:c>
      <x:c r="D246" s="99" t="str">
        <x:v>SELL</x:v>
      </x:c>
      <x:c r="E246" s="99" t="str">
        <x:v>CLOSED (WIN)</x:v>
      </x:c>
      <x:c r="F246" s="129" t="str">
        <x:v>4209.82</x:v>
      </x:c>
      <x:c r="G246" s="129" t="str">
        <x:v>4220.00</x:v>
      </x:c>
      <x:c r="H246" s="129" t="str">
        <x:v>4201.00</x:v>
      </x:c>
      <x:c r="I246" s="129" t="str">
        <x:v>0.26</x:v>
      </x:c>
      <x:c r="J246" s="129" t="str">
        <x:v>0.00</x:v>
      </x:c>
      <x:c r="K246" s="99" t="str">
        <x:v>FOREX EXPERT</x:v>
      </x:c>
      <x:c r="L246" s="99" t="str">
        <x:v>WIN</x:v>
      </x:c>
    </x:row>
    <x:row r="247">
      <x:c r="A247" s="99" t="str">
        <x:v>2026-06-22 05:40:00</x:v>
      </x:c>
      <x:c r="B247" s="99" t="str">
        <x:v>8336204</x:v>
      </x:c>
      <x:c r="C247" s="99" t="str">
        <x:v>XAUUSD-STD</x:v>
      </x:c>
      <x:c r="D247" s="99" t="str">
        <x:v>BUY</x:v>
      </x:c>
      <x:c r="E247" s="99" t="str">
        <x:v>CLOSED (WIN)</x:v>
      </x:c>
      <x:c r="F247" s="129" t="str">
        <x:v>4206.00</x:v>
      </x:c>
      <x:c r="G247" s="129" t="str">
        <x:v>4194.00</x:v>
      </x:c>
      <x:c r="H247" s="129" t="str">
        <x:v>4206.00</x:v>
      </x:c>
      <x:c r="I247" s="129" t="str">
        <x:v>3.08</x:v>
      </x:c>
      <x:c r="J247" s="129" t="str">
        <x:v>0.00</x:v>
      </x:c>
      <x:c r="K247" s="99" t="str">
        <x:v>JACKY GOLD PR</x:v>
      </x:c>
      <x:c r="L247" s="99" t="str">
        <x:v>WIN</x:v>
      </x:c>
    </x:row>
    <x:row r="248">
      <x:c r="A248" s="99" t="str">
        <x:v>2026-06-22 06:12:33</x:v>
      </x:c>
      <x:c r="B248" s="99" t="str">
        <x:v>8338298</x:v>
      </x:c>
      <x:c r="C248" s="99" t="str">
        <x:v>XAUUSD-STD</x:v>
      </x:c>
      <x:c r="D248" s="99" t="str">
        <x:v>BUY</x:v>
      </x:c>
      <x:c r="E248" s="99" t="str">
        <x:v>CLOSED (WIN)</x:v>
      </x:c>
      <x:c r="F248" s="129" t="str">
        <x:v>4209.00</x:v>
      </x:c>
      <x:c r="G248" s="129" t="str">
        <x:v>4195.00</x:v>
      </x:c>
      <x:c r="H248" s="129" t="str">
        <x:v>4209.00</x:v>
      </x:c>
      <x:c r="I248" s="129" t="str">
        <x:v>4.54</x:v>
      </x:c>
      <x:c r="J248" s="129" t="str">
        <x:v>0.00</x:v>
      </x:c>
      <x:c r="K248" s="99" t="str">
        <x:v>BEST XAU/USD</x:v>
      </x:c>
      <x:c r="L248" s="99" t="str">
        <x:v>WIN</x:v>
      </x:c>
    </x:row>
    <x:row r="249">
      <x:c r="A249" s="99" t="str">
        <x:v>2026-06-22 07:01:28</x:v>
      </x:c>
      <x:c r="B249" s="99" t="str">
        <x:v>8341399</x:v>
      </x:c>
      <x:c r="C249" s="99" t="str">
        <x:v>XAUUSD-STD</x:v>
      </x:c>
      <x:c r="D249" s="99" t="str">
        <x:v>SELL</x:v>
      </x:c>
      <x:c r="E249" s="99" t="str">
        <x:v>CLOSED (WIN)</x:v>
      </x:c>
      <x:c r="F249" s="129" t="str">
        <x:v>4194.03</x:v>
      </x:c>
      <x:c r="G249" s="129" t="str">
        <x:v>0.00</x:v>
      </x:c>
      <x:c r="H249" s="129" t="str">
        <x:v>0.00</x:v>
      </x:c>
      <x:c r="I249" s="129" t="str">
        <x:v>1.44</x:v>
      </x:c>
      <x:c r="J249" s="129" t="str">
        <x:v>0.00</x:v>
      </x:c>
      <x:c r="K249" s="99" t="str">
        <x:v>Mobile</x:v>
      </x:c>
      <x:c r="L249" s="99" t="str">
        <x:v>WIN</x:v>
      </x:c>
    </x:row>
    <x:row r="250">
      <x:c r="A250" s="99" t="str">
        <x:v>2026-06-22 07:34:16</x:v>
      </x:c>
      <x:c r="B250" s="99" t="str">
        <x:v>8346133</x:v>
      </x:c>
      <x:c r="C250" s="99" t="str">
        <x:v>XAUUSD-STD</x:v>
      </x:c>
      <x:c r="D250" s="99" t="str">
        <x:v>BUY</x:v>
      </x:c>
      <x:c r="E250" s="99" t="str">
        <x:v>CLOSED (WIN)</x:v>
      </x:c>
      <x:c r="F250" s="129" t="str">
        <x:v>4186.17</x:v>
      </x:c>
      <x:c r="G250" s="129" t="str">
        <x:v>4174.00</x:v>
      </x:c>
      <x:c r="H250" s="129" t="str">
        <x:v>4186.00</x:v>
      </x:c>
      <x:c r="I250" s="129" t="str">
        <x:v>3.08</x:v>
      </x:c>
      <x:c r="J250" s="129" t="str">
        <x:v>0.00</x:v>
      </x:c>
      <x:c r="K250" s="99" t="str">
        <x:v>JACKY GOLD PR</x:v>
      </x:c>
      <x:c r="L250" s="99" t="str">
        <x:v>WIN</x:v>
      </x:c>
    </x:row>
    <x:row r="251">
      <x:c r="A251" s="99" t="str">
        <x:v>2026-06-22 18:10:09</x:v>
      </x:c>
      <x:c r="B251" s="99" t="str">
        <x:v>8376789</x:v>
      </x:c>
      <x:c r="C251" s="99" t="str">
        <x:v>XAUUSD-STD</x:v>
      </x:c>
      <x:c r="D251" s="99" t="str">
        <x:v>SELL</x:v>
      </x:c>
      <x:c r="E251" s="99" t="str">
        <x:v>CLOSED (WIN)</x:v>
      </x:c>
      <x:c r="F251" s="129" t="str">
        <x:v>4183.00</x:v>
      </x:c>
      <x:c r="G251" s="129" t="str">
        <x:v>4201.00</x:v>
      </x:c>
      <x:c r="H251" s="129" t="str">
        <x:v>4183.00</x:v>
      </x:c>
      <x:c r="I251" s="129" t="str">
        <x:v>4.25</x:v>
      </x:c>
      <x:c r="J251" s="129" t="str">
        <x:v>0.00</x:v>
      </x:c>
      <x:c r="K251" s="99" t="str">
        <x:v>Scalpingfxno1</x:v>
      </x:c>
      <x:c r="L251" s="99" t="str">
        <x:v>WIN</x:v>
      </x:c>
    </x:row>
    <x:row r="252">
      <x:c r="A252" s="99" t="str">
        <x:v>2026-06-22 20:43:01</x:v>
      </x:c>
      <x:c r="B252" s="99" t="str">
        <x:v>8404635</x:v>
      </x:c>
      <x:c r="C252" s="99" t="str">
        <x:v>XAUUSD-STD</x:v>
      </x:c>
      <x:c r="D252" s="99" t="str">
        <x:v>BUY</x:v>
      </x:c>
      <x:c r="E252" s="99" t="str">
        <x:v>CLOSED (WIN)</x:v>
      </x:c>
      <x:c r="F252" s="129" t="str">
        <x:v>4156.43</x:v>
      </x:c>
      <x:c r="G252" s="129" t="str">
        <x:v>4144.00</x:v>
      </x:c>
      <x:c r="H252" s="129" t="str">
        <x:v>4156.00</x:v>
      </x:c>
      <x:c r="I252" s="129" t="str">
        <x:v>3.44</x:v>
      </x:c>
      <x:c r="J252" s="129" t="str">
        <x:v>0.00</x:v>
      </x:c>
      <x:c r="K252" s="99" t="str">
        <x:v>JACKY GOLD PR</x:v>
      </x:c>
      <x:c r="L252" s="99" t="str">
        <x:v>WIN</x:v>
      </x:c>
    </x:row>
    <x:row r="253">
      <x:c r="A253" s="99" t="str">
        <x:v>2026-06-22 21:07:33</x:v>
      </x:c>
      <x:c r="B253" s="99" t="str">
        <x:v>8407621</x:v>
      </x:c>
      <x:c r="C253" s="99" t="str">
        <x:v>XAUUSD-STD</x:v>
      </x:c>
      <x:c r="D253" s="99" t="str">
        <x:v>BUY</x:v>
      </x:c>
      <x:c r="E253" s="99" t="str">
        <x:v>CLOSED (WIN)</x:v>
      </x:c>
      <x:c r="F253" s="129" t="str">
        <x:v>4142.00</x:v>
      </x:c>
      <x:c r="G253" s="129" t="str">
        <x:v>4130.00</x:v>
      </x:c>
      <x:c r="H253" s="129" t="str">
        <x:v>4142.00</x:v>
      </x:c>
      <x:c r="I253" s="129" t="str">
        <x:v>2.83</x:v>
      </x:c>
      <x:c r="J253" s="129" t="str">
        <x:v>0.00</x:v>
      </x:c>
      <x:c r="K253" s="99" t="str">
        <x:v>JACKY GOLD PR</x:v>
      </x:c>
      <x:c r="L253" s="99" t="str">
        <x:v>WIN</x:v>
      </x:c>
    </x:row>
    <x:row r="254">
      <x:c r="A254" s="99" t="str">
        <x:v>2026-06-23 03:04:33</x:v>
      </x:c>
      <x:c r="B254" s="99" t="str">
        <x:v>8428671</x:v>
      </x:c>
      <x:c r="C254" s="99" t="str">
        <x:v>XAUUSD-STD</x:v>
      </x:c>
      <x:c r="D254" s="99" t="str">
        <x:v>SELL</x:v>
      </x:c>
      <x:c r="E254" s="99" t="str">
        <x:v>CLOSED (LOSS)</x:v>
      </x:c>
      <x:c r="F254" s="129" t="str">
        <x:v>4108.24</x:v>
      </x:c>
      <x:c r="G254" s="129" t="str">
        <x:v>4112.00</x:v>
      </x:c>
      <x:c r="H254" s="129" t="str">
        <x:v>4098.00</x:v>
      </x:c>
      <x:c r="I254" s="129" t="str">
        <x:v>0.00</x:v>
      </x:c>
      <x:c r="J254" s="129" t="str">
        <x:v>10.27</x:v>
      </x:c>
      <x:c r="K254" s="99" t="str">
        <x:v>BEST XAU/USD</x:v>
      </x:c>
      <x:c r="L254" s="99" t="str">
        <x:v>LOSS</x:v>
      </x:c>
    </x:row>
    <x:row r="255">
      <x:c r="A255" s="99" t="str">
        <x:v>2026-06-23 04:00:03</x:v>
      </x:c>
      <x:c r="B255" s="99" t="str">
        <x:v>8433257</x:v>
      </x:c>
      <x:c r="C255" s="99" t="str">
        <x:v>XAUUSD-STD</x:v>
      </x:c>
      <x:c r="D255" s="99" t="str">
        <x:v>SELL</x:v>
      </x:c>
      <x:c r="E255" s="99" t="str">
        <x:v>CLOSED (LOSS)</x:v>
      </x:c>
      <x:c r="F255" s="129" t="str">
        <x:v>4123.00</x:v>
      </x:c>
      <x:c r="G255" s="129" t="str">
        <x:v>4123.00</x:v>
      </x:c>
      <x:c r="H255" s="129" t="str">
        <x:v>4083.00</x:v>
      </x:c>
      <x:c r="I255" s="129" t="str">
        <x:v>0.00</x:v>
      </x:c>
      <x:c r="J255" s="129" t="str">
        <x:v>15.29</x:v>
      </x:c>
      <x:c r="K255" s="99" t="str">
        <x:v>BEST XAU/USD</x:v>
      </x:c>
      <x:c r="L255" s="99" t="str">
        <x:v>LOSS</x:v>
      </x:c>
    </x:row>
    <x:row r="256">
      <x:c r="A256" s="99" t="str">
        <x:v>2026-06-23 04:42:25</x:v>
      </x:c>
      <x:c r="B256" s="99" t="str">
        <x:v>8437117</x:v>
      </x:c>
      <x:c r="C256" s="99" t="str">
        <x:v>XAUUSD-STD</x:v>
      </x:c>
      <x:c r="D256" s="99" t="str">
        <x:v>SELL</x:v>
      </x:c>
      <x:c r="E256" s="99" t="str">
        <x:v>CLOSED (WIN)</x:v>
      </x:c>
      <x:c r="F256" s="129" t="str">
        <x:v>4125.00</x:v>
      </x:c>
      <x:c r="G256" s="129" t="str">
        <x:v>4140.00</x:v>
      </x:c>
      <x:c r="H256" s="129" t="str">
        <x:v>4125.00</x:v>
      </x:c>
      <x:c r="I256" s="129" t="str">
        <x:v>7.09</x:v>
      </x:c>
      <x:c r="J256" s="129" t="str">
        <x:v>0.00</x:v>
      </x:c>
      <x:c r="K256" s="99" t="str">
        <x:v>FOREX EXPERT</x:v>
      </x:c>
      <x:c r="L256" s="99" t="str">
        <x:v>WIN</x:v>
      </x:c>
    </x:row>
    <x:row r="257">
      <x:c r="A257" s="99" t="str">
        <x:v>2026-06-23 07:05:49</x:v>
      </x:c>
      <x:c r="B257" s="99" t="str">
        <x:v>8447237</x:v>
      </x:c>
      <x:c r="C257" s="99" t="str">
        <x:v>XAUUSD-STD</x:v>
      </x:c>
      <x:c r="D257" s="99" t="str">
        <x:v>BUY</x:v>
      </x:c>
      <x:c r="E257" s="99" t="str">
        <x:v>CLOSED (WIN)</x:v>
      </x:c>
      <x:c r="F257" s="129" t="str">
        <x:v>4115.31</x:v>
      </x:c>
      <x:c r="G257" s="129" t="str">
        <x:v>0.00</x:v>
      </x:c>
      <x:c r="H257" s="129" t="str">
        <x:v>0.00</x:v>
      </x:c>
      <x:c r="I257" s="129" t="str">
        <x:v>15.97</x:v>
      </x:c>
      <x:c r="J257" s="129" t="str">
        <x:v>0.00</x:v>
      </x:c>
      <x:c r="K257" s="99" t="str">
        <x:v>Mobile</x:v>
      </x:c>
      <x:c r="L257" s="99" t="str">
        <x:v>WIN</x:v>
      </x:c>
    </x:row>
    <x:row r="258">
      <x:c r="A258" s="99" t="str">
        <x:v>2026-06-23 09:01:26</x:v>
      </x:c>
      <x:c r="B258" s="99" t="str">
        <x:v>8466217</x:v>
      </x:c>
      <x:c r="C258" s="99" t="str">
        <x:v>XAUUSD-STD</x:v>
      </x:c>
      <x:c r="D258" s="99" t="str">
        <x:v>SELL</x:v>
      </x:c>
      <x:c r="E258" s="99" t="str">
        <x:v>CLOSED (LOSS)</x:v>
      </x:c>
      <x:c r="F258" s="129" t="str">
        <x:v>4134.16</x:v>
      </x:c>
      <x:c r="G258" s="129" t="str">
        <x:v>0.00</x:v>
      </x:c>
      <x:c r="H258" s="129" t="str">
        <x:v>0.00</x:v>
      </x:c>
      <x:c r="I258" s="129" t="str">
        <x:v>0.00</x:v>
      </x:c>
      <x:c r="J258" s="129" t="str">
        <x:v>19.25</x:v>
      </x:c>
      <x:c r="K258" s="99" t="str">
        <x:v>Mobile</x:v>
      </x:c>
      <x:c r="L258" s="99" t="str">
        <x:v>LOSS</x:v>
      </x:c>
    </x:row>
    <x:row r="259">
      <x:c r="A259" s="99" t="str">
        <x:v>2026-06-23 20:08:11</x:v>
      </x:c>
      <x:c r="B259" s="99" t="str">
        <x:v>8523943</x:v>
      </x:c>
      <x:c r="C259" s="99" t="str">
        <x:v>XAUUSD-STD</x:v>
      </x:c>
      <x:c r="D259" s="99" t="str">
        <x:v>SELL</x:v>
      </x:c>
      <x:c r="E259" s="99" t="str">
        <x:v>CLOSED (WIN)</x:v>
      </x:c>
      <x:c r="F259" s="129" t="str">
        <x:v>4081.00</x:v>
      </x:c>
      <x:c r="G259" s="129" t="str">
        <x:v>4103.00</x:v>
      </x:c>
      <x:c r="H259" s="129" t="str">
        <x:v>4081.00</x:v>
      </x:c>
      <x:c r="I259" s="129" t="str">
        <x:v>8.52</x:v>
      </x:c>
      <x:c r="J259" s="129" t="str">
        <x:v>0.00</x:v>
      </x:c>
      <x:c r="K259" s="99" t="str">
        <x:v>GOLD SCALPER</x:v>
      </x:c>
      <x:c r="L259" s="99" t="str">
        <x:v>WIN</x:v>
      </x:c>
    </x:row>
    <x:row r="260">
      <x:c r="A260" s="99" t="str">
        <x:v>2026-06-23 22:08:38</x:v>
      </x:c>
      <x:c r="B260" s="99" t="str">
        <x:v>8541726</x:v>
      </x:c>
      <x:c r="C260" s="99" t="str">
        <x:v>XAUUSD-STD</x:v>
      </x:c>
      <x:c r="D260" s="99" t="str">
        <x:v>BUY</x:v>
      </x:c>
      <x:c r="E260" s="99" t="str">
        <x:v>CLOSED (WIN)</x:v>
      </x:c>
      <x:c r="F260" s="129" t="str">
        <x:v>4060.00</x:v>
      </x:c>
      <x:c r="G260" s="129" t="str">
        <x:v>4046.00</x:v>
      </x:c>
      <x:c r="H260" s="129" t="str">
        <x:v>4060.00</x:v>
      </x:c>
      <x:c r="I260" s="129" t="str">
        <x:v>4.27</x:v>
      </x:c>
      <x:c r="J260" s="129" t="str">
        <x:v>0.00</x:v>
      </x:c>
      <x:c r="K260" s="99" t="str">
        <x:v>BEST XAU/USD</x:v>
      </x:c>
      <x:c r="L260" s="99" t="str">
        <x:v>WIN</x:v>
      </x:c>
    </x:row>
    <x:row r="261">
      <x:c r="A261" s="99" t="str">
        <x:v>2026-06-24 00:32:07</x:v>
      </x:c>
      <x:c r="B261" s="99" t="str">
        <x:v>8553569</x:v>
      </x:c>
      <x:c r="C261" s="99" t="str">
        <x:v>XAUUSD-STD</x:v>
      </x:c>
      <x:c r="D261" s="99" t="str">
        <x:v>BUY</x:v>
      </x:c>
      <x:c r="E261" s="99" t="str">
        <x:v>CLOSED (LOSS)</x:v>
      </x:c>
      <x:c r="F261" s="129" t="str">
        <x:v>4086.16</x:v>
      </x:c>
      <x:c r="G261" s="129" t="str">
        <x:v>0.00</x:v>
      </x:c>
      <x:c r="H261" s="129" t="str">
        <x:v>0.00</x:v>
      </x:c>
      <x:c r="I261" s="129" t="str">
        <x:v>0.00</x:v>
      </x:c>
      <x:c r="J261" s="129" t="str">
        <x:v>25.32</x:v>
      </x:c>
      <x:c r="K261" s="99" t="str">
        <x:v>Mobile</x:v>
      </x:c>
      <x:c r="L261" s="99" t="str">
        <x:v>LOSS</x:v>
      </x:c>
    </x:row>
    <x:row r="262">
      <x:c r="A262" s="99" t="str">
        <x:v>2026-06-24 00:50:49</x:v>
      </x:c>
      <x:c r="B262" s="99" t="str">
        <x:v>8555593</x:v>
      </x:c>
      <x:c r="C262" s="99" t="str">
        <x:v>XAUUSD-STD</x:v>
      </x:c>
      <x:c r="D262" s="99" t="str">
        <x:v>BUY</x:v>
      </x:c>
      <x:c r="E262" s="99" t="str">
        <x:v>CLOSED (LOSS)</x:v>
      </x:c>
      <x:c r="F262" s="129" t="str">
        <x:v>4085.00</x:v>
      </x:c>
      <x:c r="G262" s="129" t="str">
        <x:v>4085.00</x:v>
      </x:c>
      <x:c r="H262" s="129" t="str">
        <x:v>4098.00</x:v>
      </x:c>
      <x:c r="I262" s="129" t="str">
        <x:v>0.00</x:v>
      </x:c>
      <x:c r="J262" s="129" t="str">
        <x:v>10.40</x:v>
      </x:c>
      <x:c r="K262" s="99" t="str">
        <x:v>FOREX EXPERT</x:v>
      </x:c>
      <x:c r="L262" s="99" t="str">
        <x:v>LOSS</x:v>
      </x:c>
    </x:row>
    <x:row r="263">
      <x:c r="A263" s="99" t="str">
        <x:v>2026-06-24 04:42:08</x:v>
      </x:c>
      <x:c r="B263" s="99" t="str">
        <x:v>8566321</x:v>
      </x:c>
      <x:c r="C263" s="99" t="str">
        <x:v>XAUUSD-STD</x:v>
      </x:c>
      <x:c r="D263" s="99" t="str">
        <x:v>BUY</x:v>
      </x:c>
      <x:c r="E263" s="99" t="str">
        <x:v>CLOSED (WIN)</x:v>
      </x:c>
      <x:c r="F263" s="129" t="str">
        <x:v>4062.74</x:v>
      </x:c>
      <x:c r="G263" s="129" t="str">
        <x:v>0.00</x:v>
      </x:c>
      <x:c r="H263" s="129" t="str">
        <x:v>0.00</x:v>
      </x:c>
      <x:c r="I263" s="129" t="str">
        <x:v>11.44</x:v>
      </x:c>
      <x:c r="J263" s="129" t="str">
        <x:v>0.00</x:v>
      </x:c>
      <x:c r="K263" s="99" t="str">
        <x:v>Mobile</x:v>
      </x:c>
      <x:c r="L263" s="99" t="str">
        <x:v>WIN</x:v>
      </x:c>
    </x:row>
    <x:row r="264">
      <x:c r="A264" s="99" t="str">
        <x:v>2026-06-24 05:03:46</x:v>
      </x:c>
      <x:c r="B264" s="99" t="str">
        <x:v>8567826</x:v>
      </x:c>
      <x:c r="C264" s="99" t="str">
        <x:v>XAUUSD-STD</x:v>
      </x:c>
      <x:c r="D264" s="99" t="str">
        <x:v>BUY</x:v>
      </x:c>
      <x:c r="E264" s="99" t="str">
        <x:v>CLOSED (LOSS)</x:v>
      </x:c>
      <x:c r="F264" s="129" t="str">
        <x:v>4054.96</x:v>
      </x:c>
      <x:c r="G264" s="129" t="str">
        <x:v>0.00</x:v>
      </x:c>
      <x:c r="H264" s="129" t="str">
        <x:v>0.00</x:v>
      </x:c>
      <x:c r="I264" s="129" t="str">
        <x:v>0.00</x:v>
      </x:c>
      <x:c r="J264" s="129" t="str">
        <x:v>5.01</x:v>
      </x:c>
      <x:c r="K264" s="99" t="str">
        <x:v>Mobile</x:v>
      </x:c>
      <x:c r="L264" s="99" t="str">
        <x:v>LOSS</x:v>
      </x:c>
    </x:row>
    <x:row r="265">
      <x:c r="A265" s="99" t="str">
        <x:v>2026-06-24 05:25:08</x:v>
      </x:c>
      <x:c r="B265" s="99" t="str">
        <x:v>8574502</x:v>
      </x:c>
      <x:c r="C265" s="99" t="str">
        <x:v>XAUUSD-STD</x:v>
      </x:c>
      <x:c r="D265" s="99" t="str">
        <x:v>BUY</x:v>
      </x:c>
      <x:c r="E265" s="99" t="str">
        <x:v>CLOSED (WIN)</x:v>
      </x:c>
      <x:c r="F265" s="129" t="str">
        <x:v>4046.15</x:v>
      </x:c>
      <x:c r="G265" s="129" t="str">
        <x:v>0.00</x:v>
      </x:c>
      <x:c r="H265" s="129" t="str">
        <x:v>0.00</x:v>
      </x:c>
      <x:c r="I265" s="129" t="str">
        <x:v>2.56</x:v>
      </x:c>
      <x:c r="J265" s="129" t="str">
        <x:v>0.00</x:v>
      </x:c>
      <x:c r="K265" s="99" t="str">
        <x:v>Mobile</x:v>
      </x:c>
      <x:c r="L265" s="99" t="str">
        <x:v>WIN</x:v>
      </x:c>
    </x:row>
    <x:row r="266">
      <x:c r="A266" s="99" t="str">
        <x:v>2026-06-24 05:33:03</x:v>
      </x:c>
      <x:c r="B266" s="99" t="str">
        <x:v>8576691</x:v>
      </x:c>
      <x:c r="C266" s="99" t="str">
        <x:v>XAUUSD-STD</x:v>
      </x:c>
      <x:c r="D266" s="99" t="str">
        <x:v>BUY</x:v>
      </x:c>
      <x:c r="E266" s="99" t="str">
        <x:v>CLOSED (WIN)</x:v>
      </x:c>
      <x:c r="F266" s="129" t="str">
        <x:v>4046.53</x:v>
      </x:c>
      <x:c r="G266" s="129" t="str">
        <x:v>0.00</x:v>
      </x:c>
      <x:c r="H266" s="129" t="str">
        <x:v>0.00</x:v>
      </x:c>
      <x:c r="I266" s="129" t="str">
        <x:v>2.19</x:v>
      </x:c>
      <x:c r="J266" s="129" t="str">
        <x:v>0.00</x:v>
      </x:c>
      <x:c r="K266" s="99" t="str">
        <x:v>Mobile</x:v>
      </x:c>
      <x:c r="L266" s="99" t="str">
        <x:v>WIN</x:v>
      </x:c>
    </x:row>
    <x:row r="267">
      <x:c r="A267" s="99" t="str">
        <x:v>2026-06-24 07:20:34</x:v>
      </x:c>
      <x:c r="B267" s="99" t="str">
        <x:v>8598776</x:v>
      </x:c>
      <x:c r="C267" s="99" t="str">
        <x:v>XAUUSD-STD</x:v>
      </x:c>
      <x:c r="D267" s="99" t="str">
        <x:v>SELL</x:v>
      </x:c>
      <x:c r="E267" s="99" t="str">
        <x:v>CLOSED (WIN)</x:v>
      </x:c>
      <x:c r="F267" s="129" t="str">
        <x:v>3971.12</x:v>
      </x:c>
      <x:c r="G267" s="129" t="str">
        <x:v>0.00</x:v>
      </x:c>
      <x:c r="H267" s="129" t="str">
        <x:v>0.00</x:v>
      </x:c>
      <x:c r="I267" s="129" t="str">
        <x:v>7.83</x:v>
      </x:c>
      <x:c r="J267" s="129" t="str">
        <x:v>0.00</x:v>
      </x:c>
      <x:c r="K267" s="99" t="str">
        <x:v>Mobile</x:v>
      </x:c>
      <x:c r="L267" s="99" t="str">
        <x:v>WIN</x:v>
      </x:c>
    </x:row>
    <x:row r="268">
      <x:c r="A268" s="99" t="str">
        <x:v>2026-06-24 07:26:29</x:v>
      </x:c>
      <x:c r="B268" s="99" t="str">
        <x:v>8599687</x:v>
      </x:c>
      <x:c r="C268" s="99" t="str">
        <x:v>XAUUSD-STD</x:v>
      </x:c>
      <x:c r="D268" s="99" t="str">
        <x:v>SELL</x:v>
      </x:c>
      <x:c r="E268" s="99" t="str">
        <x:v>CLOSED (WIN)</x:v>
      </x:c>
      <x:c r="F268" s="129" t="str">
        <x:v>3973.00</x:v>
      </x:c>
      <x:c r="G268" s="129" t="str">
        <x:v>3987.00</x:v>
      </x:c>
      <x:c r="H268" s="129" t="str">
        <x:v>3973.00</x:v>
      </x:c>
      <x:c r="I268" s="129" t="str">
        <x:v>4.27</x:v>
      </x:c>
      <x:c r="J268" s="129" t="str">
        <x:v>0.00</x:v>
      </x:c>
      <x:c r="K268" s="99" t="str">
        <x:v>BEST XAU/USD</x:v>
      </x:c>
      <x:c r="L268" s="99" t="str">
        <x:v>WIN</x:v>
      </x:c>
    </x:row>
    <x:row r="269">
      <x:c r="A269" s="99" t="str">
        <x:v>2026-06-24 07:26:29</x:v>
      </x:c>
      <x:c r="B269" s="99" t="str">
        <x:v>8599575</x:v>
      </x:c>
      <x:c r="C269" s="99" t="str">
        <x:v>XAUUSD-STD</x:v>
      </x:c>
      <x:c r="D269" s="99" t="str">
        <x:v>SELL</x:v>
      </x:c>
      <x:c r="E269" s="99" t="str">
        <x:v>CLOSED (WIN)</x:v>
      </x:c>
      <x:c r="F269" s="129" t="str">
        <x:v>3973.00</x:v>
      </x:c>
      <x:c r="G269" s="129" t="str">
        <x:v>3986.00</x:v>
      </x:c>
      <x:c r="H269" s="129" t="str">
        <x:v>3973.00</x:v>
      </x:c>
      <x:c r="I269" s="129" t="str">
        <x:v>4.27</x:v>
      </x:c>
      <x:c r="J269" s="129" t="str">
        <x:v>0.00</x:v>
      </x:c>
      <x:c r="K269" s="99" t="str">
        <x:v>BEST XAU/USD</x:v>
      </x:c>
      <x:c r="L269" s="99" t="str">
        <x:v>WIN</x:v>
      </x:c>
    </x:row>
    <x:row r="270">
      <x:c r="A270" s="99" t="str">
        <x:v>2026-06-24 07:37:00</x:v>
      </x:c>
      <x:c r="B270" s="99" t="str">
        <x:v>8601898</x:v>
      </x:c>
      <x:c r="C270" s="99" t="str">
        <x:v>XAUUSD-STD</x:v>
      </x:c>
      <x:c r="D270" s="99" t="str">
        <x:v>SELL</x:v>
      </x:c>
      <x:c r="E270" s="99" t="str">
        <x:v>CLOSED (WIN)</x:v>
      </x:c>
      <x:c r="F270" s="129" t="str">
        <x:v>3993.49</x:v>
      </x:c>
      <x:c r="G270" s="129" t="str">
        <x:v>4006.00</x:v>
      </x:c>
      <x:c r="H270" s="129" t="str">
        <x:v>3981.30</x:v>
      </x:c>
      <x:c r="I270" s="129" t="str">
        <x:v>2.49</x:v>
      </x:c>
      <x:c r="J270" s="129" t="str">
        <x:v>0.00</x:v>
      </x:c>
      <x:c r="K270" s="99" t="str">
        <x:v>BEST XAU/USD</x:v>
      </x:c>
      <x:c r="L270" s="99" t="str">
        <x:v>WIN</x:v>
      </x:c>
    </x:row>
    <x:row r="271">
      <x:c r="A271" s="99" t="str">
        <x:v>2026-06-24 07:40:01</x:v>
      </x:c>
      <x:c r="B271" s="99" t="str">
        <x:v>8601668</x:v>
      </x:c>
      <x:c r="C271" s="99" t="str">
        <x:v>XAUUSD-STD</x:v>
      </x:c>
      <x:c r="D271" s="99" t="str">
        <x:v>SELL</x:v>
      </x:c>
      <x:c r="E271" s="99" t="str">
        <x:v>CLOSED (LOSS)</x:v>
      </x:c>
      <x:c r="F271" s="129" t="str">
        <x:v>4007.06</x:v>
      </x:c>
      <x:c r="G271" s="129" t="str">
        <x:v>0.00</x:v>
      </x:c>
      <x:c r="H271" s="129" t="str">
        <x:v>0.00</x:v>
      </x:c>
      <x:c r="I271" s="129" t="str">
        <x:v>0.00</x:v>
      </x:c>
      <x:c r="J271" s="129" t="str">
        <x:v>56.89</x:v>
      </x:c>
      <x:c r="K271" s="99" t="str">
        <x:v>Mobile</x:v>
      </x:c>
      <x:c r="L271" s="99" t="str">
        <x:v>LOSS</x:v>
      </x:c>
    </x:row>
    <x:row r="272">
      <x:c r="A272" s="99" t="str">
        <x:v>2026-06-24 07:40:01</x:v>
      </x:c>
      <x:c r="B272" s="99" t="str">
        <x:v>8602234</x:v>
      </x:c>
      <x:c r="C272" s="99" t="str">
        <x:v>XAUUSD-STD</x:v>
      </x:c>
      <x:c r="D272" s="99" t="str">
        <x:v>SELL</x:v>
      </x:c>
      <x:c r="E272" s="99" t="str">
        <x:v>CLOSED (LOSS)</x:v>
      </x:c>
      <x:c r="F272" s="129" t="str">
        <x:v>4007.06</x:v>
      </x:c>
      <x:c r="G272" s="129" t="str">
        <x:v>0.00</x:v>
      </x:c>
      <x:c r="H272" s="129" t="str">
        <x:v>0.00</x:v>
      </x:c>
      <x:c r="I272" s="129" t="str">
        <x:v>0.00</x:v>
      </x:c>
      <x:c r="J272" s="129" t="str">
        <x:v>24.53</x:v>
      </x:c>
      <x:c r="K272" s="99" t="str">
        <x:v>Mobile</x:v>
      </x:c>
      <x:c r="L272" s="99" t="str">
        <x:v>LOSS</x:v>
      </x:c>
    </x:row>
    <x:row r="273">
      <x:c r="A273" s="99" t="str">
        <x:v>2026-06-24 07:42:31</x:v>
      </x:c>
      <x:c r="B273" s="99" t="str">
        <x:v>8603402</x:v>
      </x:c>
      <x:c r="C273" s="99" t="str">
        <x:v>XAUUSD-STD</x:v>
      </x:c>
      <x:c r="D273" s="99" t="str">
        <x:v>BUY</x:v>
      </x:c>
      <x:c r="E273" s="99" t="str">
        <x:v>CLOSED (WIN)</x:v>
      </x:c>
      <x:c r="F273" s="129" t="str">
        <x:v>4014.19</x:v>
      </x:c>
      <x:c r="G273" s="129" t="str">
        <x:v>0.00</x:v>
      </x:c>
      <x:c r="H273" s="129" t="str">
        <x:v>0.00</x:v>
      </x:c>
      <x:c r="I273" s="129" t="str">
        <x:v>15.05</x:v>
      </x:c>
      <x:c r="J273" s="129" t="str">
        <x:v>0.00</x:v>
      </x:c>
      <x:c r="K273" s="99" t="str">
        <x:v>Mobile</x:v>
      </x:c>
      <x:c r="L273" s="99" t="str">
        <x:v>WIN</x:v>
      </x:c>
    </x:row>
    <x:row r="274">
      <x:c r="A274" s="99" t="str">
        <x:v>2026-06-24 10:06:00</x:v>
      </x:c>
      <x:c r="B274" s="99" t="str">
        <x:v>8620893</x:v>
      </x:c>
      <x:c r="C274" s="99" t="str">
        <x:v>XAUUSD-STD</x:v>
      </x:c>
      <x:c r="D274" s="99" t="str">
        <x:v>BUY</x:v>
      </x:c>
      <x:c r="E274" s="99" t="str">
        <x:v>CLOSED (WIN)</x:v>
      </x:c>
      <x:c r="F274" s="129" t="str">
        <x:v>4003.78</x:v>
      </x:c>
      <x:c r="G274" s="129" t="str">
        <x:v>0.00</x:v>
      </x:c>
      <x:c r="H274" s="129" t="str">
        <x:v>0.00</x:v>
      </x:c>
      <x:c r="I274" s="129" t="str">
        <x:v>0.44</x:v>
      </x:c>
      <x:c r="J274" s="129" t="str">
        <x:v>0.00</x:v>
      </x:c>
      <x:c r="K274" s="99" t="str">
        <x:v>Mobile</x:v>
      </x:c>
      <x:c r="L274" s="99" t="str">
        <x:v>WIN</x:v>
      </x:c>
    </x:row>
    <x:row r="275">
      <x:c r="A275" s="99" t="str">
        <x:v>2026-06-24 18:10:13</x:v>
      </x:c>
      <x:c r="B275" s="99" t="str">
        <x:v>8659896</x:v>
      </x:c>
      <x:c r="C275" s="99" t="str">
        <x:v>XAUUSD-STD</x:v>
      </x:c>
      <x:c r="D275" s="99" t="str">
        <x:v>BUY</x:v>
      </x:c>
      <x:c r="E275" s="99" t="str">
        <x:v>CLOSED (LOSS)</x:v>
      </x:c>
      <x:c r="F275" s="129" t="str">
        <x:v>4013.13</x:v>
      </x:c>
      <x:c r="G275" s="129" t="str">
        <x:v>0.00</x:v>
      </x:c>
      <x:c r="H275" s="129" t="str">
        <x:v>0.00</x:v>
      </x:c>
      <x:c r="I275" s="129" t="str">
        <x:v>0.00</x:v>
      </x:c>
      <x:c r="J275" s="129" t="str">
        <x:v>3.75</x:v>
      </x:c>
      <x:c r="K275" s="99" t="str">
        <x:v>Mobile</x:v>
      </x:c>
      <x:c r="L275" s="99" t="str">
        <x:v>LOSS</x:v>
      </x:c>
    </x:row>
    <x:row r="276">
      <x:c r="A276" s="99" t="str">
        <x:v>2026-06-24 18:46:17</x:v>
      </x:c>
      <x:c r="B276" s="99" t="str">
        <x:v>8663942</x:v>
      </x:c>
      <x:c r="C276" s="99" t="str">
        <x:v>XAUUSD-STD</x:v>
      </x:c>
      <x:c r="D276" s="99" t="str">
        <x:v>SELL</x:v>
      </x:c>
      <x:c r="E276" s="99" t="str">
        <x:v>CLOSED (WIN)</x:v>
      </x:c>
      <x:c r="F276" s="129" t="str">
        <x:v>3982.00</x:v>
      </x:c>
      <x:c r="G276" s="129" t="str">
        <x:v>3995.00</x:v>
      </x:c>
      <x:c r="H276" s="129" t="str">
        <x:v>3982.00</x:v>
      </x:c>
      <x:c r="I276" s="129" t="str">
        <x:v>4.27</x:v>
      </x:c>
      <x:c r="J276" s="129" t="str">
        <x:v>0.00</x:v>
      </x:c>
      <x:c r="K276" s="99" t="str">
        <x:v>BLUE PIPSTM</x:v>
      </x:c>
      <x:c r="L276" s="99" t="str">
        <x:v>WIN</x:v>
      </x:c>
    </x:row>
    <x:row r="277">
      <x:c r="A277" s="99" t="str">
        <x:v>2026-06-24 21:50:15</x:v>
      </x:c>
      <x:c r="B277" s="99" t="str">
        <x:v>8684460</x:v>
      </x:c>
      <x:c r="C277" s="99" t="str">
        <x:v>XAUUSD-STD</x:v>
      </x:c>
      <x:c r="D277" s="99" t="str">
        <x:v>SELL</x:v>
      </x:c>
      <x:c r="E277" s="99" t="str">
        <x:v>CLOSED (LOSS)</x:v>
      </x:c>
      <x:c r="F277" s="129" t="str">
        <x:v>3988.20</x:v>
      </x:c>
      <x:c r="G277" s="129" t="str">
        <x:v>3988.00</x:v>
      </x:c>
      <x:c r="H277" s="129" t="str">
        <x:v>3974.00</x:v>
      </x:c>
      <x:c r="I277" s="129" t="str">
        <x:v>0.00</x:v>
      </x:c>
      <x:c r="J277" s="129" t="str">
        <x:v>8.11</x:v>
      </x:c>
      <x:c r="K277" s="99" t="str">
        <x:v>Eliz FX Acade</x:v>
      </x:c>
      <x:c r="L277" s="99" t="str">
        <x:v>LOSS</x:v>
      </x:c>
    </x:row>
    <x:row r="278">
      <x:c r="A278" s="99" t="str">
        <x:v>2026-06-24 22:05:11</x:v>
      </x:c>
      <x:c r="B278" s="99" t="str">
        <x:v>8688018</x:v>
      </x:c>
      <x:c r="C278" s="99" t="str">
        <x:v>XAUUSD-STD</x:v>
      </x:c>
      <x:c r="D278" s="99" t="str">
        <x:v>SELL</x:v>
      </x:c>
      <x:c r="E278" s="99" t="str">
        <x:v>CLOSED (WIN)</x:v>
      </x:c>
      <x:c r="F278" s="129" t="str">
        <x:v>3993.00</x:v>
      </x:c>
      <x:c r="G278" s="129" t="str">
        <x:v>4010.00</x:v>
      </x:c>
      <x:c r="H278" s="129" t="str">
        <x:v>3993.00</x:v>
      </x:c>
      <x:c r="I278" s="129" t="str">
        <x:v>3.09</x:v>
      </x:c>
      <x:c r="J278" s="129" t="str">
        <x:v>0.00</x:v>
      </x:c>
      <x:c r="K278" s="99" t="str">
        <x:v>GOLD ANALYSIS</x:v>
      </x:c>
      <x:c r="L278" s="99" t="str">
        <x:v>WIN</x:v>
      </x:c>
    </x:row>
    <x:row r="279">
      <x:c r="A279" s="99" t="str">
        <x:v>2026-06-24 23:45:51</x:v>
      </x:c>
      <x:c r="B279" s="99" t="str">
        <x:v>8694963</x:v>
      </x:c>
      <x:c r="C279" s="99" t="str">
        <x:v>XAUUSD-STD</x:v>
      </x:c>
      <x:c r="D279" s="99" t="str">
        <x:v>BUY</x:v>
      </x:c>
      <x:c r="E279" s="99" t="str">
        <x:v>CLOSED (WIN)</x:v>
      </x:c>
      <x:c r="F279" s="129" t="str">
        <x:v>3984.00</x:v>
      </x:c>
      <x:c r="G279" s="129" t="str">
        <x:v>3972.00</x:v>
      </x:c>
      <x:c r="H279" s="129" t="str">
        <x:v>3984.00</x:v>
      </x:c>
      <x:c r="I279" s="129" t="str">
        <x:v>2.85</x:v>
      </x:c>
      <x:c r="J279" s="129" t="str">
        <x:v>0.00</x:v>
      </x:c>
      <x:c r="K279" s="99" t="str">
        <x:v>JACKY GOLD PR</x:v>
      </x:c>
      <x:c r="L279" s="99" t="str">
        <x:v>WIN</x:v>
      </x:c>
    </x:row>
    <x:row r="280">
      <x:c r="A280" s="99" t="str">
        <x:v>2026-06-25 01:27:41</x:v>
      </x:c>
      <x:c r="B280" s="99" t="str">
        <x:v>8698873</x:v>
      </x:c>
      <x:c r="C280" s="99" t="str">
        <x:v>XAUUSD-STD</x:v>
      </x:c>
      <x:c r="D280" s="99" t="str">
        <x:v>BUY</x:v>
      </x:c>
      <x:c r="E280" s="99" t="str">
        <x:v>CLOSED (WIN)</x:v>
      </x:c>
      <x:c r="F280" s="129" t="str">
        <x:v>3987.00</x:v>
      </x:c>
      <x:c r="G280" s="129" t="str">
        <x:v>3965.00</x:v>
      </x:c>
      <x:c r="H280" s="129" t="str">
        <x:v>3987.00</x:v>
      </x:c>
      <x:c r="I280" s="129" t="str">
        <x:v>9.07</x:v>
      </x:c>
      <x:c r="J280" s="129" t="str">
        <x:v>0.00</x:v>
      </x:c>
      <x:c r="K280" s="99" t="str">
        <x:v>GOLD SCALPER</x:v>
      </x:c>
      <x:c r="L280" s="99" t="str">
        <x:v>WIN</x:v>
      </x:c>
    </x:row>
    <x:row r="281">
      <x:c r="A281" s="99" t="str">
        <x:v>2026-08-06 00:51:10</x:v>
      </x:c>
      <x:c r="B281" s="99" t="str">
        <x:v>21768711</x:v>
      </x:c>
      <x:c r="C281" s="99" t="str">
        <x:v>XAUUSD.p</x:v>
      </x:c>
      <x:c r="D281" s="99" t="str">
        <x:v>SELL</x:v>
      </x:c>
      <x:c r="E281" s="99" t="str">
        <x:v>CLOSED (WIN)</x:v>
      </x:c>
      <x:c r="F281" s="129" t="str">
        <x:v>4254.00</x:v>
      </x:c>
      <x:c r="G281" s="129" t="str">
        <x:v>4266.00</x:v>
      </x:c>
      <x:c r="H281" s="129" t="str">
        <x:v>4254.00</x:v>
      </x:c>
      <x:c r="I281" s="129" t="str">
        <x:v>1.08</x:v>
      </x:c>
      <x:c r="J281" s="129" t="str">
        <x:v>0.00</x:v>
      </x:c>
      <x:c r="K281" s="99" t="str">
        <x:v>GOLD Paradise Channel</x:v>
      </x:c>
      <x:c r="L281" s="99" t="str">
        <x:v>WIN</x:v>
      </x:c>
    </x:row>
    <x:row r="282">
      <x:c r="A282" s="99" t="str">
        <x:v>2026-08-06 01:36:40</x:v>
      </x:c>
      <x:c r="B282" s="99" t="str">
        <x:v>21773458</x:v>
      </x:c>
      <x:c r="C282" s="99" t="str">
        <x:v>XAUUSD.p</x:v>
      </x:c>
      <x:c r="D282" s="99" t="str">
        <x:v>SELL</x:v>
      </x:c>
      <x:c r="E282" s="99" t="str">
        <x:v>CLOSED (WIN)</x:v>
      </x:c>
      <x:c r="F282" s="129" t="str">
        <x:v>4258.00</x:v>
      </x:c>
      <x:c r="G282" s="129" t="str">
        <x:v>4273.00</x:v>
      </x:c>
      <x:c r="H282" s="129" t="str">
        <x:v>4258.00</x:v>
      </x:c>
      <x:c r="I282" s="129" t="str">
        <x:v>5.26</x:v>
      </x:c>
      <x:c r="J282" s="129" t="str">
        <x:v>0.00</x:v>
      </x:c>
      <x:c r="K282" s="99" t="str">
        <x:v>GildedEdge Fx</x:v>
      </x:c>
      <x:c r="L282" s="99" t="str">
        <x:v>WIN</x:v>
      </x:c>
    </x:row>
    <x:row r="283">
      <x:c r="A283" s="99" t="str">
        <x:v>2026-08-06 02:19:29</x:v>
      </x:c>
      <x:c r="B283" s="99" t="str">
        <x:v>21782534</x:v>
      </x:c>
      <x:c r="C283" s="99" t="str">
        <x:v>XAUUSD.p</x:v>
      </x:c>
      <x:c r="D283" s="99" t="str">
        <x:v>BUY</x:v>
      </x:c>
      <x:c r="E283" s="99" t="str">
        <x:v>CLOSED (WIN)</x:v>
      </x:c>
      <x:c r="F283" s="129" t="str">
        <x:v>4270.00</x:v>
      </x:c>
      <x:c r="G283" s="129" t="str">
        <x:v>4260.00</x:v>
      </x:c>
      <x:c r="H283" s="129" t="str">
        <x:v>4270.00</x:v>
      </x:c>
      <x:c r="I283" s="129" t="str">
        <x:v>1.02</x:v>
      </x:c>
      <x:c r="J283" s="129" t="str">
        <x:v>0.00</x:v>
      </x:c>
      <x:c r="K283" s="99" t="str">
        <x:v>Skool of Traders</x:v>
      </x:c>
      <x:c r="L283" s="99" t="str">
        <x:v>WIN</x:v>
      </x:c>
    </x:row>
    <x:row r="284">
      <x:c r="A284" s="99" t="str">
        <x:v>2026-08-07 01:15:57</x:v>
      </x:c>
      <x:c r="B284" s="99" t="str">
        <x:v>22029690</x:v>
      </x:c>
      <x:c r="C284" s="99" t="str">
        <x:v>XAUUSD.p</x:v>
      </x:c>
      <x:c r="D284" s="99" t="str">
        <x:v>SELL</x:v>
      </x:c>
      <x:c r="E284" s="99" t="str">
        <x:v>CLOSED (WIN)</x:v>
      </x:c>
      <x:c r="F284" s="129" t="str">
        <x:v>4291.84</x:v>
      </x:c>
      <x:c r="G284" s="129" t="str">
        <x:v>4309.00</x:v>
      </x:c>
      <x:c r="H284" s="129" t="str">
        <x:v>4289.00</x:v>
      </x:c>
      <x:c r="I284" s="129" t="str">
        <x:v>6.53</x:v>
      </x:c>
      <x:c r="J284" s="129" t="str">
        <x:v>0.00</x:v>
      </x:c>
      <x:c r="K284" s="99" t="str">
        <x:v>GildedEdge Fx</x:v>
      </x:c>
      <x:c r="L284" s="99" t="str">
        <x:v>WIN</x:v>
      </x:c>
    </x:row>
    <x:row r="285">
      <x:c r="A285" s="99" t="str">
        <x:v>2026-08-07 01:15:57</x:v>
      </x:c>
      <x:c r="B285" s="99" t="str">
        <x:v>22029098</x:v>
      </x:c>
      <x:c r="C285" s="99" t="str">
        <x:v>XAUUSD.p</x:v>
      </x:c>
      <x:c r="D285" s="99" t="str">
        <x:v>SELL</x:v>
      </x:c>
      <x:c r="E285" s="99" t="str">
        <x:v>CLOSED (WIN)</x:v>
      </x:c>
      <x:c r="F285" s="129" t="str">
        <x:v>4291.84</x:v>
      </x:c>
      <x:c r="G285" s="129" t="str">
        <x:v>0.00</x:v>
      </x:c>
      <x:c r="H285" s="129" t="str">
        <x:v>0.00</x:v>
      </x:c>
      <x:c r="I285" s="129" t="str">
        <x:v>0.13</x:v>
      </x:c>
      <x:c r="J285" s="129" t="str">
        <x:v>0.00</x:v>
      </x:c>
      <x:c r="K285" s="99" t="str">
        <x:v>Mobile</x:v>
      </x:c>
      <x:c r="L285" s="99" t="str">
        <x:v>WIN</x:v>
      </x:c>
    </x:row>
    <x:row r="286">
      <x:c r="A286" s="99" t="str">
        <x:v>2026-08-07 01:44:10</x:v>
      </x:c>
      <x:c r="B286" s="99" t="str">
        <x:v>22037003</x:v>
      </x:c>
      <x:c r="C286" s="99" t="str">
        <x:v>XAUUSD.p</x:v>
      </x:c>
      <x:c r="D286" s="99" t="str">
        <x:v>BUY</x:v>
      </x:c>
      <x:c r="E286" s="99" t="str">
        <x:v>CLOSED (LOSS)</x:v>
      </x:c>
      <x:c r="F286" s="129" t="str">
        <x:v>4284.50</x:v>
      </x:c>
      <x:c r="G286" s="129" t="str">
        <x:v>4284.50</x:v>
      </x:c>
      <x:c r="H286" s="129" t="str">
        <x:v>4293.50</x:v>
      </x:c>
      <x:c r="I286" s="129" t="str">
        <x:v>0.00</x:v>
      </x:c>
      <x:c r="J286" s="129" t="str">
        <x:v>4.64</x:v>
      </x:c>
      <x:c r="K286" s="99" t="str">
        <x:v>Wall Street Traders Club</x:v>
      </x:c>
      <x:c r="L286" s="99" t="str">
        <x:v>LOSS</x:v>
      </x:c>
    </x:row>
    <x:row r="287">
      <x:c r="A287" s="99" t="str">
        <x:v>2026-08-07 02:03:06</x:v>
      </x:c>
      <x:c r="B287" s="99" t="str">
        <x:v>22031034</x:v>
      </x:c>
      <x:c r="C287" s="99" t="str">
        <x:v>XAUUSD.p</x:v>
      </x:c>
      <x:c r="D287" s="99" t="str">
        <x:v>BUY</x:v>
      </x:c>
      <x:c r="E287" s="99" t="str">
        <x:v>CLOSED (WIN)</x:v>
      </x:c>
      <x:c r="F287" s="129" t="str">
        <x:v>4293.50</x:v>
      </x:c>
      <x:c r="G287" s="129" t="str">
        <x:v>4277.00</x:v>
      </x:c>
      <x:c r="H287" s="129" t="str">
        <x:v>4299.00</x:v>
      </x:c>
      <x:c r="I287" s="129" t="str">
        <x:v>0.70</x:v>
      </x:c>
      <x:c r="J287" s="129" t="str">
        <x:v>0.00</x:v>
      </x:c>
      <x:c r="K287" s="99" t="str">
        <x:v>GOLD SCALPER</x:v>
      </x:c>
      <x:c r="L287" s="99" t="str">
        <x:v>WIN</x:v>
      </x:c>
    </x:row>
    <x:row r="288">
      <x:c r="A288" s="99" t="str">
        <x:v>2026-08-07 02:33:59</x:v>
      </x:c>
      <x:c r="B288" s="99" t="str">
        <x:v>22047574</x:v>
      </x:c>
      <x:c r="C288" s="99" t="str">
        <x:v>XAUUSD.p</x:v>
      </x:c>
      <x:c r="D288" s="99" t="str">
        <x:v>SELL</x:v>
      </x:c>
      <x:c r="E288" s="99" t="str">
        <x:v>CLOSED (LOSS)</x:v>
      </x:c>
      <x:c r="F288" s="129" t="str">
        <x:v>4311.01</x:v>
      </x:c>
      <x:c r="G288" s="129" t="str">
        <x:v>4310.00</x:v>
      </x:c>
      <x:c r="H288" s="129" t="str">
        <x:v>4297.00</x:v>
      </x:c>
      <x:c r="I288" s="129" t="str">
        <x:v>0.00</x:v>
      </x:c>
      <x:c r="J288" s="129" t="str">
        <x:v>15.44</x:v>
      </x:c>
      <x:c r="K288" s="99" t="str">
        <x:v>Super Forex _0TM</x:v>
      </x:c>
      <x:c r="L288" s="99" t="str">
        <x:v>LOSS</x:v>
      </x:c>
    </x:row>
    <x:row r="289">
      <x:c r="A289" s="99" t="str">
        <x:v>2026-08-07 02:33:59</x:v>
      </x:c>
      <x:c r="B289" s="99" t="str">
        <x:v>22045846</x:v>
      </x:c>
      <x:c r="C289" s="99" t="str">
        <x:v>XAUUSD.p</x:v>
      </x:c>
      <x:c r="D289" s="99" t="str">
        <x:v>SELL</x:v>
      </x:c>
      <x:c r="E289" s="99" t="str">
        <x:v>CLOSED (LOSS)</x:v>
      </x:c>
      <x:c r="F289" s="129" t="str">
        <x:v>4311.13</x:v>
      </x:c>
      <x:c r="G289" s="129" t="str">
        <x:v>4311.00</x:v>
      </x:c>
      <x:c r="H289" s="129" t="str">
        <x:v>4290.00</x:v>
      </x:c>
      <x:c r="I289" s="129" t="str">
        <x:v>0.00</x:v>
      </x:c>
      <x:c r="J289" s="129" t="str">
        <x:v>23.06</x:v>
      </x:c>
      <x:c r="K289" s="99" t="str">
        <x:v>GildedEdge Fx</x:v>
      </x:c>
      <x:c r="L289" s="99" t="str">
        <x:v>LOSS</x:v>
      </x:c>
    </x:row>
    <x:row r="290">
      <x:c r="A290" s="99" t="str">
        <x:v>2026-08-07 02:40:05</x:v>
      </x:c>
      <x:c r="B290" s="99" t="str">
        <x:v>22050473</x:v>
      </x:c>
      <x:c r="C290" s="99" t="str">
        <x:v>XAUUSD.p</x:v>
      </x:c>
      <x:c r="D290" s="99" t="str">
        <x:v>SELL</x:v>
      </x:c>
      <x:c r="E290" s="99" t="str">
        <x:v>CLOSED (WIN)</x:v>
      </x:c>
      <x:c r="F290" s="129" t="str">
        <x:v>4304.52</x:v>
      </x:c>
      <x:c r="G290" s="129" t="str">
        <x:v>0.00</x:v>
      </x:c>
      <x:c r="H290" s="129" t="str">
        <x:v>0.00</x:v>
      </x:c>
      <x:c r="I290" s="129" t="str">
        <x:v>1.77</x:v>
      </x:c>
      <x:c r="J290" s="129" t="str">
        <x:v>0.00</x:v>
      </x:c>
      <x:c r="K290" s="99" t="str">
        <x:v>Mobile</x:v>
      </x:c>
      <x:c r="L290" s="99" t="str">
        <x:v>WIN</x:v>
      </x:c>
    </x:row>
    <x:row r="291">
      <x:c r="A291" s="99" t="str">
        <x:v>2026-08-07 02:42:25</x:v>
      </x:c>
      <x:c r="B291" s="99" t="str">
        <x:v>22050589</x:v>
      </x:c>
      <x:c r="C291" s="99" t="str">
        <x:v>XAUUSD.p</x:v>
      </x:c>
      <x:c r="D291" s="99" t="str">
        <x:v>BUY</x:v>
      </x:c>
      <x:c r="E291" s="99" t="str">
        <x:v>CLOSED (WIN)</x:v>
      </x:c>
      <x:c r="F291" s="129" t="str">
        <x:v>4309.35</x:v>
      </x:c>
      <x:c r="G291" s="129" t="str">
        <x:v>0.00</x:v>
      </x:c>
      <x:c r="H291" s="129" t="str">
        <x:v>0.00</x:v>
      </x:c>
      <x:c r="I291" s="129" t="str">
        <x:v>10.88</x:v>
      </x:c>
      <x:c r="J291" s="129" t="str">
        <x:v>0.00</x:v>
      </x:c>
      <x:c r="K291" s="99" t="str">
        <x:v>Mobile</x:v>
      </x:c>
      <x:c r="L291" s="99" t="str">
        <x:v>WIN</x:v>
      </x:c>
    </x:row>
    <x:row r="292">
      <x:c r="A292" s="99" t="str">
        <x:v>2026-08-07 03:35:26</x:v>
      </x:c>
      <x:c r="B292" s="99" t="str">
        <x:v>22057322</x:v>
      </x:c>
      <x:c r="C292" s="99" t="str">
        <x:v>XAUUSD.p</x:v>
      </x:c>
      <x:c r="D292" s="99" t="str">
        <x:v>SELL</x:v>
      </x:c>
      <x:c r="E292" s="99" t="str">
        <x:v>CLOSED (WIN)</x:v>
      </x:c>
      <x:c r="F292" s="129" t="str">
        <x:v>4304.00</x:v>
      </x:c>
      <x:c r="G292" s="129" t="str">
        <x:v>4322.00</x:v>
      </x:c>
      <x:c r="H292" s="129" t="str">
        <x:v>4304.00</x:v>
      </x:c>
      <x:c r="I292" s="129" t="str">
        <x:v>0.74</x:v>
      </x:c>
      <x:c r="J292" s="129" t="str">
        <x:v>0.00</x:v>
      </x:c>
      <x:c r="K292" s="99" t="str">
        <x:v>Forex treding</x:v>
      </x:c>
      <x:c r="L292" s="99" t="str">
        <x:v>WIN</x:v>
      </x:c>
    </x:row>
    <x:row r="293">
      <x:c r="A293" s="99" t="str">
        <x:v>2026-08-07 07:19:20</x:v>
      </x:c>
      <x:c r="B293" s="99" t="str">
        <x:v>22130881</x:v>
      </x:c>
      <x:c r="C293" s="99" t="str">
        <x:v>XAUUSD.p</x:v>
      </x:c>
      <x:c r="D293" s="99" t="str">
        <x:v>BUY</x:v>
      </x:c>
      <x:c r="E293" s="99" t="str">
        <x:v>CLOSED (WIN)</x:v>
      </x:c>
      <x:c r="F293" s="129" t="str">
        <x:v>4343.00</x:v>
      </x:c>
      <x:c r="G293" s="129" t="str">
        <x:v>4330.00</x:v>
      </x:c>
      <x:c r="H293" s="129" t="str">
        <x:v>4343.00</x:v>
      </x:c>
      <x:c r="I293" s="129" t="str">
        <x:v>4.19</x:v>
      </x:c>
      <x:c r="J293" s="129" t="str">
        <x:v>0.00</x:v>
      </x:c>
      <x:c r="K293" s="99" t="str">
        <x:v>Super Forex _0TM</x:v>
      </x:c>
      <x:c r="L293" s="99" t="str">
        <x:v>WIN</x:v>
      </x:c>
    </x:row>
    <x:row r="294">
      <x:c r="A294" s="99" t="str">
        <x:v>2026-08-07 07:46:12</x:v>
      </x:c>
      <x:c r="B294" s="99" t="str">
        <x:v>22142978</x:v>
      </x:c>
      <x:c r="C294" s="99" t="str">
        <x:v>XAUUSD.p</x:v>
      </x:c>
      <x:c r="D294" s="99" t="str">
        <x:v>SELL</x:v>
      </x:c>
      <x:c r="E294" s="99" t="str">
        <x:v>CLOSED (WIN)</x:v>
      </x:c>
      <x:c r="F294" s="129" t="str">
        <x:v>4355.00</x:v>
      </x:c>
      <x:c r="G294" s="129" t="str">
        <x:v>4375.00</x:v>
      </x:c>
      <x:c r="H294" s="129" t="str">
        <x:v>4355.00</x:v>
      </x:c>
      <x:c r="I294" s="129" t="str">
        <x:v>15.68</x:v>
      </x:c>
      <x:c r="J294" s="129" t="str">
        <x:v>0.00</x:v>
      </x:c>
      <x:c r="K294" s="99" t="str">
        <x:v>GildedEdge Fx</x:v>
      </x:c>
      <x:c r="L294" s="99" t="str">
        <x:v>WIN</x:v>
      </x:c>
    </x:row>
    <x:row r="295">
      <x:c r="A295" s="99" t="str">
        <x:v>2026-08-09 22:40:14</x:v>
      </x:c>
      <x:c r="B295" s="99" t="str">
        <x:v>22334654</x:v>
      </x:c>
      <x:c r="C295" s="99" t="str">
        <x:v>XAUUSD.p</x:v>
      </x:c>
      <x:c r="D295" s="99" t="str">
        <x:v>SELL</x:v>
      </x:c>
      <x:c r="E295" s="99" t="str">
        <x:v>CLOSED (WIN)</x:v>
      </x:c>
      <x:c r="F295" s="129" t="str">
        <x:v>4333.00</x:v>
      </x:c>
      <x:c r="G295" s="129" t="str">
        <x:v>4346.00</x:v>
      </x:c>
      <x:c r="H295" s="129" t="str">
        <x:v>4333.00</x:v>
      </x:c>
      <x:c r="I295" s="129" t="str">
        <x:v>0.13</x:v>
      </x:c>
      <x:c r="J295" s="129" t="str">
        <x:v>0.00</x:v>
      </x:c>
      <x:c r="K295" s="99" t="str">
        <x:v>Super Forex _0TM</x:v>
      </x:c>
      <x:c r="L295" s="99" t="str">
        <x:v>WIN</x:v>
      </x:c>
    </x:row>
    <x:row r="296">
      <x:c r="A296" s="99" t="str">
        <x:v>2026-08-09 23:02:22</x:v>
      </x:c>
      <x:c r="B296" s="99" t="str">
        <x:v>22339225</x:v>
      </x:c>
      <x:c r="C296" s="99" t="str">
        <x:v>XAUUSD.p</x:v>
      </x:c>
      <x:c r="D296" s="99" t="str">
        <x:v>SELL</x:v>
      </x:c>
      <x:c r="E296" s="99" t="str">
        <x:v>CLOSED (WIN)</x:v>
      </x:c>
      <x:c r="F296" s="129" t="str">
        <x:v>4336.00</x:v>
      </x:c>
      <x:c r="G296" s="129" t="str">
        <x:v>4350.00</x:v>
      </x:c>
      <x:c r="H296" s="129" t="str">
        <x:v>4336.00</x:v>
      </x:c>
      <x:c r="I296" s="129" t="str">
        <x:v>1.33</x:v>
      </x:c>
      <x:c r="J296" s="129" t="str">
        <x:v>0.00</x:v>
      </x:c>
      <x:c r="K296" s="99" t="str">
        <x:v>Michael Fx Trader</x:v>
      </x:c>
      <x:c r="L296" s="99" t="str">
        <x:v>WIN</x:v>
      </x:c>
    </x:row>
    <x:row r="297">
      <x:c r="A297" s="99" t="str">
        <x:v>2026-08-09 23:10:27</x:v>
      </x:c>
      <x:c r="B297" s="99" t="str">
        <x:v>22340225</x:v>
      </x:c>
      <x:c r="C297" s="99" t="str">
        <x:v>XAUUSD.p</x:v>
      </x:c>
      <x:c r="D297" s="99" t="str">
        <x:v>SELL</x:v>
      </x:c>
      <x:c r="E297" s="99" t="str">
        <x:v>CLOSED (WIN)</x:v>
      </x:c>
      <x:c r="F297" s="129" t="str">
        <x:v>4336.00</x:v>
      </x:c>
      <x:c r="G297" s="129" t="str">
        <x:v>4353.00</x:v>
      </x:c>
      <x:c r="H297" s="129" t="str">
        <x:v>4336.00</x:v>
      </x:c>
      <x:c r="I297" s="129" t="str">
        <x:v>1.10</x:v>
      </x:c>
      <x:c r="J297" s="129" t="str">
        <x:v>0.00</x:v>
      </x:c>
      <x:c r="K297" s="99" t="str">
        <x:v>Forex treding</x:v>
      </x:c>
      <x:c r="L297" s="99" t="str">
        <x:v>WIN</x:v>
      </x:c>
    </x:row>
    <x:row r="298">
      <x:c r="A298" s="99" t="str">
        <x:v>2026-08-10 00:18:19</x:v>
      </x:c>
      <x:c r="B298" s="99" t="str">
        <x:v>22354587</x:v>
      </x:c>
      <x:c r="C298" s="99" t="str">
        <x:v>XAUUSD.p</x:v>
      </x:c>
      <x:c r="D298" s="99" t="str">
        <x:v>SELL</x:v>
      </x:c>
      <x:c r="E298" s="99" t="str">
        <x:v>CLOSED (WIN)</x:v>
      </x:c>
      <x:c r="F298" s="129" t="str">
        <x:v>4346.00</x:v>
      </x:c>
      <x:c r="G298" s="129" t="str">
        <x:v>4364.00</x:v>
      </x:c>
      <x:c r="H298" s="129" t="str">
        <x:v>4346.00</x:v>
      </x:c>
      <x:c r="I298" s="129" t="str">
        <x:v>1.45</x:v>
      </x:c>
      <x:c r="J298" s="129" t="str">
        <x:v>0.00</x:v>
      </x:c>
      <x:c r="K298" s="99" t="str">
        <x:v>Forex treding</x:v>
      </x:c>
      <x:c r="L298" s="99" t="str">
        <x:v>WIN</x:v>
      </x:c>
    </x:row>
    <x:row r="299">
      <x:c r="A299" s="99" t="str">
        <x:v>2026-08-10 02:04:54</x:v>
      </x:c>
      <x:c r="B299" s="99" t="str">
        <x:v>22375029</x:v>
      </x:c>
      <x:c r="C299" s="99" t="str">
        <x:v>XAUUSD.p</x:v>
      </x:c>
      <x:c r="D299" s="99" t="str">
        <x:v>BUY</x:v>
      </x:c>
      <x:c r="E299" s="99" t="str">
        <x:v>CLOSED (WIN)</x:v>
      </x:c>
      <x:c r="F299" s="129" t="str">
        <x:v>4356.00</x:v>
      </x:c>
      <x:c r="G299" s="129" t="str">
        <x:v>4340.00</x:v>
      </x:c>
      <x:c r="H299" s="129" t="str">
        <x:v>4356.00</x:v>
      </x:c>
      <x:c r="I299" s="129" t="str">
        <x:v>1.69</x:v>
      </x:c>
      <x:c r="J299" s="129" t="str">
        <x:v>0.00</x:v>
      </x:c>
      <x:c r="K299" s="99" t="str">
        <x:v>Skool of Traders</x:v>
      </x:c>
      <x:c r="L299" s="99" t="str">
        <x:v>WIN</x:v>
      </x:c>
    </x:row>
    <x:row r="300">
      <x:c r="A300" s="99" t="str">
        <x:v>2026-08-10 04:21:37</x:v>
      </x:c>
      <x:c r="B300" s="99" t="str">
        <x:v>57899732348</x:v>
      </x:c>
      <x:c r="C300" s="99" t="str">
        <x:v>XAUUSD</x:v>
      </x:c>
      <x:c r="D300" s="99" t="str">
        <x:v>BUY</x:v>
      </x:c>
      <x:c r="E300" s="99" t="str">
        <x:v>CLOSED (WIN)</x:v>
      </x:c>
      <x:c r="F300" s="129" t="str">
        <x:v>4343.00</x:v>
      </x:c>
      <x:c r="G300" s="129" t="str">
        <x:v>4330.00</x:v>
      </x:c>
      <x:c r="H300" s="129" t="str">
        <x:v>4343.00</x:v>
      </x:c>
      <x:c r="I300" s="129" t="str">
        <x:v>3.00</x:v>
      </x:c>
      <x:c r="J300" s="129" t="str">
        <x:v>0.00</x:v>
      </x:c>
      <x:c r="K300" s="99" t="str">
        <x:v>Super Forex _0TM</x:v>
      </x:c>
      <x:c r="L300" s="99" t="str">
        <x:v>WIN</x:v>
      </x:c>
    </x:row>
    <x:row r="301">
      <x:c r="A301" s="99" t="str">
        <x:v>2026-08-10 04:52:30</x:v>
      </x:c>
      <x:c r="B301" s="99" t="str">
        <x:v>57900792606</x:v>
      </x:c>
      <x:c r="C301" s="99" t="str">
        <x:v>XAUUSD</x:v>
      </x:c>
      <x:c r="D301" s="99" t="str">
        <x:v>BUY</x:v>
      </x:c>
      <x:c r="E301" s="99" t="str">
        <x:v>CLOSED (WIN)</x:v>
      </x:c>
      <x:c r="F301" s="129" t="str">
        <x:v>4340.00</x:v>
      </x:c>
      <x:c r="G301" s="129" t="str">
        <x:v>4328.00</x:v>
      </x:c>
      <x:c r="H301" s="129" t="str">
        <x:v>4340.00</x:v>
      </x:c>
      <x:c r="I301" s="129" t="str">
        <x:v>2.00</x:v>
      </x:c>
      <x:c r="J301" s="129" t="str">
        <x:v>0.00</x:v>
      </x:c>
      <x:c r="K301" s="99" t="str">
        <x:v>JACKY GOLD PRO TRADER</x:v>
      </x:c>
      <x:c r="L301" s="99" t="str">
        <x:v>WIN</x:v>
      </x:c>
    </x:row>
    <x:row r="302">
      <x:c r="A302" s="99" t="str">
        <x:v>2026-08-10 05:31:19</x:v>
      </x:c>
      <x:c r="B302" s="99" t="str">
        <x:v>57899690882</x:v>
      </x:c>
      <x:c r="C302" s="99" t="str">
        <x:v>XAUUSD</x:v>
      </x:c>
      <x:c r="D302" s="99" t="str">
        <x:v>BUY</x:v>
      </x:c>
      <x:c r="E302" s="99" t="str">
        <x:v>CLOSED (WIN)</x:v>
      </x:c>
      <x:c r="F302" s="129" t="str">
        <x:v>4337.00</x:v>
      </x:c>
      <x:c r="G302" s="129" t="str">
        <x:v>4025.00</x:v>
      </x:c>
      <x:c r="H302" s="129" t="str">
        <x:v>4337.00</x:v>
      </x:c>
      <x:c r="I302" s="129" t="str">
        <x:v>6.00</x:v>
      </x:c>
      <x:c r="J302" s="129" t="str">
        <x:v>0.00</x:v>
      </x:c>
      <x:c r="K302" s="99" t="str">
        <x:v>Scalper Gold Nexus</x:v>
      </x:c>
      <x:c r="L302" s="99" t="str">
        <x:v>WIN</x:v>
      </x:c>
    </x:row>
    <x:row r="303">
      <x:c r="A303" s="99" t="str">
        <x:v>2026-08-10 06:26:25</x:v>
      </x:c>
      <x:c r="B303" s="99" t="str">
        <x:v>57902305388</x:v>
      </x:c>
      <x:c r="C303" s="99" t="str">
        <x:v>XAUUSD</x:v>
      </x:c>
      <x:c r="D303" s="99" t="str">
        <x:v>BUY</x:v>
      </x:c>
      <x:c r="E303" s="99" t="str">
        <x:v>CLOSED (LOSS)</x:v>
      </x:c>
      <x:c r="F303" s="129" t="str">
        <x:v>4326.00</x:v>
      </x:c>
      <x:c r="G303" s="129" t="str">
        <x:v>4326.00</x:v>
      </x:c>
      <x:c r="H303" s="129" t="str">
        <x:v>4335.00</x:v>
      </x:c>
      <x:c r="I303" s="129" t="str">
        <x:v>0.00</x:v>
      </x:c>
      <x:c r="J303" s="129" t="str">
        <x:v>5.50</x:v>
      </x:c>
      <x:c r="K303" s="99" t="str">
        <x:v>Wall Street Traders Club</x:v>
      </x:c>
      <x:c r="L303" s="99" t="str">
        <x:v>LOSS</x:v>
      </x:c>
    </x:row>
    <x:row r="304">
      <x:c r="A304" s="99" t="str">
        <x:v>2026-08-10 06:26:25</x:v>
      </x:c>
      <x:c r="B304" s="99" t="str">
        <x:v>57899906401</x:v>
      </x:c>
      <x:c r="C304" s="99" t="str">
        <x:v>XAUUSD</x:v>
      </x:c>
      <x:c r="D304" s="99" t="str">
        <x:v>BUY</x:v>
      </x:c>
      <x:c r="E304" s="99" t="str">
        <x:v>CLOSED (LOSS)</x:v>
      </x:c>
      <x:c r="F304" s="129" t="str">
        <x:v>4325.00</x:v>
      </x:c>
      <x:c r="G304" s="129" t="str">
        <x:v>4325.00</x:v>
      </x:c>
      <x:c r="H304" s="129" t="str">
        <x:v>4347.00</x:v>
      </x:c>
      <x:c r="I304" s="129" t="str">
        <x:v>0.00</x:v>
      </x:c>
      <x:c r="J304" s="129" t="str">
        <x:v>16.00</x:v>
      </x:c>
      <x:c r="K304" s="99" t="str">
        <x:v>GOLD SCALPER</x:v>
      </x:c>
      <x:c r="L304" s="99" t="str">
        <x:v>LOSS</x:v>
      </x:c>
    </x:row>
    <x:row r="305">
      <x:c r="A305" s="99" t="str">
        <x:v>2026-08-10 06:26:30</x:v>
      </x:c>
      <x:c r="B305" s="99" t="str">
        <x:v>57900768027</x:v>
      </x:c>
      <x:c r="C305" s="99" t="str">
        <x:v>XAUUSD</x:v>
      </x:c>
      <x:c r="D305" s="99" t="str">
        <x:v>BUY</x:v>
      </x:c>
      <x:c r="E305" s="99" t="str">
        <x:v>CLOSED (LOSS)</x:v>
      </x:c>
      <x:c r="F305" s="129" t="str">
        <x:v>4324.00</x:v>
      </x:c>
      <x:c r="G305" s="129" t="str">
        <x:v>4324.00</x:v>
      </x:c>
      <x:c r="H305" s="129" t="str">
        <x:v>4340.00</x:v>
      </x:c>
      <x:c r="I305" s="129" t="str">
        <x:v>0.00</x:v>
      </x:c>
      <x:c r="J305" s="129" t="str">
        <x:v>8.50</x:v>
      </x:c>
      <x:c r="K305" s="99" t="str">
        <x:v>GildedEdge Fx</x:v>
      </x:c>
      <x:c r="L305" s="99" t="str">
        <x:v>LOSS</x:v>
      </x:c>
    </x:row>
    <x:row r="306">
      <x:c r="A306" s="99" t="str">
        <x:v>2026-08-10 07:40:57</x:v>
      </x:c>
      <x:c r="B306" s="99" t="str">
        <x:v>57901112291</x:v>
      </x:c>
      <x:c r="C306" s="99" t="str">
        <x:v>XAUUSD</x:v>
      </x:c>
      <x:c r="D306" s="99" t="str">
        <x:v>SELL</x:v>
      </x:c>
      <x:c r="E306" s="99" t="str">
        <x:v>CLOSED (WIN)</x:v>
      </x:c>
      <x:c r="F306" s="129" t="str">
        <x:v>4336.00</x:v>
      </x:c>
      <x:c r="G306" s="129" t="str">
        <x:v>4345.00</x:v>
      </x:c>
      <x:c r="H306" s="129" t="str">
        <x:v>4336.00</x:v>
      </x:c>
      <x:c r="I306" s="129" t="str">
        <x:v>3.50</x:v>
      </x:c>
      <x:c r="J306" s="129" t="str">
        <x:v>0.00</x:v>
      </x:c>
      <x:c r="K306" s="99" t="str">
        <x:v>Wall Street Traders Club</x:v>
      </x:c>
      <x:c r="L306" s="99" t="str">
        <x:v>WIN</x:v>
      </x:c>
    </x:row>
    <x:row r="307">
      <x:c r="A307" s="99" t="str">
        <x:v>2026-08-10 07:57:29</x:v>
      </x:c>
      <x:c r="B307" s="99" t="str">
        <x:v>57903014467</x:v>
      </x:c>
      <x:c r="C307" s="99" t="str">
        <x:v>XAUUSD</x:v>
      </x:c>
      <x:c r="D307" s="99" t="str">
        <x:v>BUY</x:v>
      </x:c>
      <x:c r="E307" s="99" t="str">
        <x:v>CLOSED (LOSS)</x:v>
      </x:c>
      <x:c r="F307" s="129" t="str">
        <x:v>4320.00</x:v>
      </x:c>
      <x:c r="G307" s="129" t="str">
        <x:v>4320.00</x:v>
      </x:c>
      <x:c r="H307" s="129" t="str">
        <x:v>4332.00</x:v>
      </x:c>
      <x:c r="I307" s="129" t="str">
        <x:v>0.00</x:v>
      </x:c>
      <x:c r="J307" s="129" t="str">
        <x:v>5.50</x:v>
      </x:c>
      <x:c r="K307" s="99" t="str">
        <x:v>GOLD Paradise Channel</x:v>
      </x:c>
      <x:c r="L307" s="99" t="str">
        <x:v>LOSS</x:v>
      </x:c>
    </x:row>
    <x:row r="308">
      <x:c r="A308" s="99" t="str">
        <x:v>2026-08-10 08:13:27</x:v>
      </x:c>
      <x:c r="B308" s="99" t="str">
        <x:v>57902803685</x:v>
      </x:c>
      <x:c r="C308" s="99" t="str">
        <x:v>XAUUSD</x:v>
      </x:c>
      <x:c r="D308" s="99" t="str">
        <x:v>BUY</x:v>
      </x:c>
      <x:c r="E308" s="99" t="str">
        <x:v>CLOSED (WIN)</x:v>
      </x:c>
      <x:c r="F308" s="129" t="str">
        <x:v>4328.00</x:v>
      </x:c>
      <x:c r="G308" s="129" t="str">
        <x:v>4316.00</x:v>
      </x:c>
      <x:c r="H308" s="129" t="str">
        <x:v>4328.00</x:v>
      </x:c>
      <x:c r="I308" s="129" t="str">
        <x:v>6.50</x:v>
      </x:c>
      <x:c r="J308" s="129" t="str">
        <x:v>0.00</x:v>
      </x:c>
      <x:c r="K308" s="99" t="str">
        <x:v>GOLD Paradise Channel</x:v>
      </x:c>
      <x:c r="L308" s="99" t="str">
        <x:v>WIN</x:v>
      </x:c>
    </x:row>
    <x:row r="309">
      <x:c r="A309" s="99" t="str">
        <x:v>2026-08-10 08:13:57</x:v>
      </x:c>
      <x:c r="B309" s="99" t="str">
        <x:v>57902926468</x:v>
      </x:c>
      <x:c r="C309" s="99" t="str">
        <x:v>XAUUSD</x:v>
      </x:c>
      <x:c r="D309" s="99" t="str">
        <x:v>BUY</x:v>
      </x:c>
      <x:c r="E309" s="99" t="str">
        <x:v>CLOSED (WIN)</x:v>
      </x:c>
      <x:c r="F309" s="129" t="str">
        <x:v>4329.00</x:v>
      </x:c>
      <x:c r="G309" s="129" t="str">
        <x:v>4316.00</x:v>
      </x:c>
      <x:c r="H309" s="129" t="str">
        <x:v>4329.00</x:v>
      </x:c>
      <x:c r="I309" s="129" t="str">
        <x:v>5.00</x:v>
      </x:c>
      <x:c r="J309" s="129" t="str">
        <x:v>0.00</x:v>
      </x:c>
      <x:c r="K309" s="99" t="str">
        <x:v>BLUE PIPSTM</x:v>
      </x:c>
      <x:c r="L309" s="99" t="str">
        <x:v>WIN</x:v>
      </x:c>
    </x:row>
    <x:row r="310">
      <x:c r="A310" s="99" t="str">
        <x:v>2026-08-10 08:18:08</x:v>
      </x:c>
      <x:c r="B310" s="99" t="str">
        <x:v>57905286690</x:v>
      </x:c>
      <x:c r="C310" s="99" t="str">
        <x:v>XAUUSD</x:v>
      </x:c>
      <x:c r="D310" s="99" t="str">
        <x:v>SELL</x:v>
      </x:c>
      <x:c r="E310" s="99" t="str">
        <x:v>CLOSED (LOSS)</x:v>
      </x:c>
      <x:c r="F310" s="129" t="str">
        <x:v>4335.00</x:v>
      </x:c>
      <x:c r="G310" s="129" t="str">
        <x:v>4335.00</x:v>
      </x:c>
      <x:c r="H310" s="129" t="str">
        <x:v>4323.00</x:v>
      </x:c>
      <x:c r="I310" s="129" t="str">
        <x:v>0.00</x:v>
      </x:c>
      <x:c r="J310" s="129" t="str">
        <x:v>6.00</x:v>
      </x:c>
      <x:c r="K310" s="99" t="str">
        <x:v>GildedEdge Fx</x:v>
      </x:c>
      <x:c r="L310" s="99" t="str">
        <x:v>LOSS</x:v>
      </x:c>
    </x:row>
    <x:row r="311">
      <x:c r="A311" s="99" t="str">
        <x:v>2026-08-10 08:28:49</x:v>
      </x:c>
      <x:c r="B311" s="99" t="str">
        <x:v>57905775226</x:v>
      </x:c>
      <x:c r="C311" s="99" t="str">
        <x:v>XAUUSD</x:v>
      </x:c>
      <x:c r="D311" s="99" t="str">
        <x:v>SELL</x:v>
      </x:c>
      <x:c r="E311" s="99" t="str">
        <x:v>CLOSED (LOSS)</x:v>
      </x:c>
      <x:c r="F311" s="129" t="str">
        <x:v>4348.00</x:v>
      </x:c>
      <x:c r="G311" s="129" t="str">
        <x:v>4348.00</x:v>
      </x:c>
      <x:c r="H311" s="129" t="str">
        <x:v>4332.00</x:v>
      </x:c>
      <x:c r="I311" s="129" t="str">
        <x:v>0.00</x:v>
      </x:c>
      <x:c r="J311" s="129" t="str">
        <x:v>11.50</x:v>
      </x:c>
      <x:c r="K311" s="99" t="str">
        <x:v>Gold Trader Avi</x:v>
      </x:c>
      <x:c r="L311" s="99" t="str">
        <x:v>LOSS</x:v>
      </x:c>
    </x:row>
    <x:row r="312">
      <x:c r="A312" s="99" t="str">
        <x:v>2026-08-10 08:38:04</x:v>
      </x:c>
      <x:c r="B312" s="99" t="str">
        <x:v>57906105251</x:v>
      </x:c>
      <x:c r="C312" s="99" t="str">
        <x:v>XAUUSD</x:v>
      </x:c>
      <x:c r="D312" s="99" t="str">
        <x:v>BUY</x:v>
      </x:c>
      <x:c r="E312" s="99" t="str">
        <x:v>CLOSED (WIN)</x:v>
      </x:c>
      <x:c r="F312" s="129" t="str">
        <x:v>4348.00</x:v>
      </x:c>
      <x:c r="G312" s="129" t="str">
        <x:v>4335.00</x:v>
      </x:c>
      <x:c r="H312" s="129" t="str">
        <x:v>4348.00</x:v>
      </x:c>
      <x:c r="I312" s="129" t="str">
        <x:v>3.00</x:v>
      </x:c>
      <x:c r="J312" s="129" t="str">
        <x:v>0.00</x:v>
      </x:c>
      <x:c r="K312" s="99" t="str">
        <x:v>Super Forex _0TM</x:v>
      </x:c>
      <x:c r="L312" s="99" t="str">
        <x:v>WIN</x:v>
      </x:c>
    </x:row>
    <x:row r="313">
      <x:c r="A313" s="99" t="str">
        <x:v>2026-08-10 09:08:57</x:v>
      </x:c>
      <x:c r="B313" s="99" t="str">
        <x:v>57906526561</x:v>
      </x:c>
      <x:c r="C313" s="99" t="str">
        <x:v>XAUUSD</x:v>
      </x:c>
      <x:c r="D313" s="99" t="str">
        <x:v>SELL</x:v>
      </x:c>
      <x:c r="E313" s="99" t="str">
        <x:v>CLOSED (WIN)</x:v>
      </x:c>
      <x:c r="F313" s="129" t="str">
        <x:v>4347.00</x:v>
      </x:c>
      <x:c r="G313" s="129" t="str">
        <x:v>4364.00</x:v>
      </x:c>
      <x:c r="H313" s="129" t="str">
        <x:v>4347.00</x:v>
      </x:c>
      <x:c r="I313" s="129" t="str">
        <x:v>5.00</x:v>
      </x:c>
      <x:c r="J313" s="129" t="str">
        <x:v>0.00</x:v>
      </x:c>
      <x:c r="K313" s="99" t="str">
        <x:v>Gold Trader Avi</x:v>
      </x:c>
      <x:c r="L313" s="99" t="str">
        <x:v>WIN</x:v>
      </x:c>
    </x:row>
    <x:row r="314">
      <x:c r="A314" s="99" t="str">
        <x:v>2026-08-10 10:02:58</x:v>
      </x:c>
      <x:c r="B314" s="99" t="str">
        <x:v>57907303321</x:v>
      </x:c>
      <x:c r="C314" s="99" t="str">
        <x:v>XAUUSD</x:v>
      </x:c>
      <x:c r="D314" s="99" t="str">
        <x:v>SELL</x:v>
      </x:c>
      <x:c r="E314" s="99" t="str">
        <x:v>CLOSED (LOSS)</x:v>
      </x:c>
      <x:c r="F314" s="129" t="str">
        <x:v>4362.00</x:v>
      </x:c>
      <x:c r="G314" s="129" t="str">
        <x:v>4362.00</x:v>
      </x:c>
      <x:c r="H314" s="129" t="str">
        <x:v>4347.00</x:v>
      </x:c>
      <x:c r="I314" s="129" t="str">
        <x:v>0.00</x:v>
      </x:c>
      <x:c r="J314" s="129" t="str">
        <x:v>12.00</x:v>
      </x:c>
      <x:c r="K314" s="99" t="str">
        <x:v>Michael Fx Trader</x:v>
      </x:c>
      <x:c r="L314" s="99" t="str">
        <x:v>LOSS</x:v>
      </x:c>
    </x:row>
    <x:row r="315">
      <x:c r="A315" s="99" t="str">
        <x:v>2026-08-10 10:32:00</x:v>
      </x:c>
      <x:c r="B315" s="99" t="str">
        <x:v>57908445631</x:v>
      </x:c>
      <x:c r="C315" s="99" t="str">
        <x:v>XAUUSD</x:v>
      </x:c>
      <x:c r="D315" s="99" t="str">
        <x:v>SELL</x:v>
      </x:c>
      <x:c r="E315" s="99" t="str">
        <x:v>CLOSED (WIN)</x:v>
      </x:c>
      <x:c r="F315" s="129" t="str">
        <x:v>4359.00</x:v>
      </x:c>
      <x:c r="G315" s="129" t="str">
        <x:v>4372.00</x:v>
      </x:c>
      <x:c r="H315" s="129" t="str">
        <x:v>4359.00</x:v>
      </x:c>
      <x:c r="I315" s="129" t="str">
        <x:v>3.00</x:v>
      </x:c>
      <x:c r="J315" s="129" t="str">
        <x:v>0.00</x:v>
      </x:c>
      <x:c r="K315" s="99" t="str">
        <x:v>Michael Fx Trader</x:v>
      </x:c>
      <x:c r="L315" s="99" t="str">
        <x:v>WIN</x:v>
      </x:c>
    </x:row>
    <x:row r="316">
      <x:c r="A316" s="99" t="str">
        <x:v>2026-08-10 10:32:00</x:v>
      </x:c>
      <x:c r="B316" s="99" t="str">
        <x:v>57908418277</x:v>
      </x:c>
      <x:c r="C316" s="99" t="str">
        <x:v>XAUUSD</x:v>
      </x:c>
      <x:c r="D316" s="99" t="str">
        <x:v>SELL</x:v>
      </x:c>
      <x:c r="E316" s="99" t="str">
        <x:v>CLOSED (WIN)</x:v>
      </x:c>
      <x:c r="F316" s="129" t="str">
        <x:v>4356.00</x:v>
      </x:c>
      <x:c r="G316" s="129" t="str">
        <x:v>4372.00</x:v>
      </x:c>
      <x:c r="H316" s="129" t="str">
        <x:v>4356.00</x:v>
      </x:c>
      <x:c r="I316" s="129" t="str">
        <x:v>5.50</x:v>
      </x:c>
      <x:c r="J316" s="129" t="str">
        <x:v>0.00</x:v>
      </x:c>
      <x:c r="K316" s="99" t="str">
        <x:v>Gold Trader Avi</x:v>
      </x:c>
      <x:c r="L316" s="99" t="str">
        <x:v>WIN</x:v>
      </x:c>
    </x:row>
    <x:row r="317">
      <x:c r="A317" s="99" t="str">
        <x:v>2026-08-10 12:31:27</x:v>
      </x:c>
      <x:c r="B317" s="99" t="str">
        <x:v>57910140615</x:v>
      </x:c>
      <x:c r="C317" s="99" t="str">
        <x:v>XAUUSD</x:v>
      </x:c>
      <x:c r="D317" s="99" t="str">
        <x:v>SELL</x:v>
      </x:c>
      <x:c r="E317" s="99" t="str">
        <x:v>CLOSED (LOSS)</x:v>
      </x:c>
      <x:c r="F317" s="129" t="str">
        <x:v>4377.00</x:v>
      </x:c>
      <x:c r="G317" s="129" t="str">
        <x:v>4377.00</x:v>
      </x:c>
      <x:c r="H317" s="129" t="str">
        <x:v>4360.00</x:v>
      </x:c>
      <x:c r="I317" s="129" t="str">
        <x:v>0.00</x:v>
      </x:c>
      <x:c r="J317" s="129" t="str">
        <x:v>13.00</x:v>
      </x:c>
      <x:c r="K317" s="99" t="str">
        <x:v>Forex treding</x:v>
      </x:c>
      <x:c r="L317" s="99" t="str">
        <x:v>LOSS</x:v>
      </x:c>
    </x:row>
    <x:row r="318">
      <x:c r="A318" s="99" t="str">
        <x:v>2026-08-11 23:05:58</x:v>
      </x:c>
      <x:c r="B318" s="99" t="str">
        <x:v>57935715928</x:v>
      </x:c>
      <x:c r="C318" s="99" t="str">
        <x:v>XAUUSD</x:v>
      </x:c>
      <x:c r="D318" s="99" t="str">
        <x:v>BUY</x:v>
      </x:c>
      <x:c r="E318" s="99" t="str">
        <x:v>CLOSED (WIN)</x:v>
      </x:c>
      <x:c r="F318" s="129" t="str">
        <x:v>4403.00</x:v>
      </x:c>
      <x:c r="G318" s="129" t="str">
        <x:v>4390.00</x:v>
      </x:c>
      <x:c r="H318" s="129" t="str">
        <x:v>4403.00</x:v>
      </x:c>
      <x:c r="I318" s="129" t="str">
        <x:v>3.00</x:v>
      </x:c>
      <x:c r="J318" s="129" t="str">
        <x:v>0.00</x:v>
      </x:c>
      <x:c r="K318" s="99" t="str">
        <x:v>Super Forex _0TM</x:v>
      </x:c>
      <x:c r="L318" s="99" t="str">
        <x:v>WIN</x:v>
      </x:c>
    </x:row>
    <x:row r="319">
      <x:c r="A319" s="99" t="str">
        <x:v>2026-08-11 23:20:45</x:v>
      </x:c>
      <x:c r="B319" s="99" t="str">
        <x:v>57935953978</x:v>
      </x:c>
      <x:c r="C319" s="99" t="str">
        <x:v>XAUUSD</x:v>
      </x:c>
      <x:c r="D319" s="99" t="str">
        <x:v>SELL</x:v>
      </x:c>
      <x:c r="E319" s="99" t="str">
        <x:v>CLOSED (WIN)</x:v>
      </x:c>
      <x:c r="F319" s="129" t="str">
        <x:v>4397.00</x:v>
      </x:c>
      <x:c r="G319" s="129" t="str">
        <x:v>4415.00</x:v>
      </x:c>
      <x:c r="H319" s="129" t="str">
        <x:v>4397.00</x:v>
      </x:c>
      <x:c r="I319" s="129" t="str">
        <x:v>5.50</x:v>
      </x:c>
      <x:c r="J319" s="129" t="str">
        <x:v>0.00</x:v>
      </x:c>
      <x:c r="K319" s="99" t="str">
        <x:v>GOLD ANALYSIS EXPERTS</x:v>
      </x:c>
      <x:c r="L319" s="99" t="str">
        <x:v>WIN</x:v>
      </x:c>
    </x:row>
    <x:row r="320">
      <x:c r="A320" s="99" t="str">
        <x:v>2026-08-11 23:30:06</x:v>
      </x:c>
      <x:c r="B320" s="99" t="str">
        <x:v>57936512852</x:v>
      </x:c>
      <x:c r="C320" s="99" t="str">
        <x:v>XAUUSD</x:v>
      </x:c>
      <x:c r="D320" s="99" t="str">
        <x:v>BUY</x:v>
      </x:c>
      <x:c r="E320" s="99" t="str">
        <x:v>CLOSED (LOSS)</x:v>
      </x:c>
      <x:c r="F320" s="129" t="str">
        <x:v>4391.00</x:v>
      </x:c>
      <x:c r="G320" s="129" t="str">
        <x:v>4391.00</x:v>
      </x:c>
      <x:c r="H320" s="129" t="str">
        <x:v>4404.00</x:v>
      </x:c>
      <x:c r="I320" s="129" t="str">
        <x:v>0.00</x:v>
      </x:c>
      <x:c r="J320" s="129" t="str">
        <x:v>8.50</x:v>
      </x:c>
      <x:c r="K320" s="99" t="str">
        <x:v>XAUUSD/TRADING</x:v>
      </x:c>
      <x:c r="L320" s="99" t="str">
        <x:v>LOSS</x:v>
      </x:c>
    </x:row>
    <x:row r="321">
      <x:c r="A321" s="99" t="str">
        <x:v>2026-08-11 23:30:06</x:v>
      </x:c>
      <x:c r="B321" s="99" t="str">
        <x:v>57935837711</x:v>
      </x:c>
      <x:c r="C321" s="99" t="str">
        <x:v>XAUUSD</x:v>
      </x:c>
      <x:c r="D321" s="99" t="str">
        <x:v>BUY</x:v>
      </x:c>
      <x:c r="E321" s="99" t="str">
        <x:v>CLOSED (LOSS)</x:v>
      </x:c>
      <x:c r="F321" s="129" t="str">
        <x:v>4390.00</x:v>
      </x:c>
      <x:c r="G321" s="129" t="str">
        <x:v>4390.00</x:v>
      </x:c>
      <x:c r="H321" s="129" t="str">
        <x:v>4405.00</x:v>
      </x:c>
      <x:c r="I321" s="129" t="str">
        <x:v>0.00</x:v>
      </x:c>
      <x:c r="J321" s="129" t="str">
        <x:v>9.00</x:v>
      </x:c>
      <x:c r="K321" s="99" t="str">
        <x:v>FOREX CREDIBLE TRADER</x:v>
      </x:c>
      <x:c r="L321" s="99" t="str">
        <x:v>LOSS</x:v>
      </x:c>
    </x:row>
    <x:row r="322">
      <x:c r="A322" s="99" t="str">
        <x:v>2026-08-11 23:44:57</x:v>
      </x:c>
      <x:c r="B322" s="99" t="str">
        <x:v>57934941071</x:v>
      </x:c>
      <x:c r="C322" s="99" t="str">
        <x:v>XAUUSD</x:v>
      </x:c>
      <x:c r="D322" s="99" t="str">
        <x:v>BUY</x:v>
      </x:c>
      <x:c r="E322" s="99" t="str">
        <x:v>CLOSED (LOSS)</x:v>
      </x:c>
      <x:c r="F322" s="129" t="str">
        <x:v>4388.00</x:v>
      </x:c>
      <x:c r="G322" s="129" t="str">
        <x:v>4388.00</x:v>
      </x:c>
      <x:c r="H322" s="129" t="str">
        <x:v>4401.00</x:v>
      </x:c>
      <x:c r="I322" s="129" t="str">
        <x:v>0.00</x:v>
      </x:c>
      <x:c r="J322" s="129" t="str">
        <x:v>6.50</x:v>
      </x:c>
      <x:c r="K322" s="99" t="str">
        <x:v>Eliz FX Academy</x:v>
      </x:c>
      <x:c r="L322" s="99" t="str">
        <x:v>LOSS</x:v>
      </x:c>
    </x:row>
    <x:row r="323">
      <x:c r="A323" s="99" t="str">
        <x:v>2026-08-11 23:54:38</x:v>
      </x:c>
      <x:c r="B323" s="99" t="str">
        <x:v>57937058782</x:v>
      </x:c>
      <x:c r="C323" s="99" t="str">
        <x:v>XAUUSD</x:v>
      </x:c>
      <x:c r="D323" s="99" t="str">
        <x:v>BUY</x:v>
      </x:c>
      <x:c r="E323" s="99" t="str">
        <x:v>CLOSED (WIN)</x:v>
      </x:c>
      <x:c r="F323" s="129" t="str">
        <x:v>4388.00</x:v>
      </x:c>
      <x:c r="G323" s="129" t="str">
        <x:v>4376.00</x:v>
      </x:c>
      <x:c r="H323" s="129" t="str">
        <x:v>4388.00</x:v>
      </x:c>
      <x:c r="I323" s="129" t="str">
        <x:v>2.00</x:v>
      </x:c>
      <x:c r="J323" s="129" t="str">
        <x:v>0.00</x:v>
      </x:c>
      <x:c r="K323" s="99" t="str">
        <x:v>JACKY GOLD PRO TRADER</x:v>
      </x:c>
      <x:c r="L323" s="99" t="str">
        <x:v>WIN</x:v>
      </x:c>
    </x:row>
    <x:row r="324">
      <x:c r="A324" s="99" t="str">
        <x:v>2026-08-11 23:55:03</x:v>
      </x:c>
      <x:c r="B324" s="99" t="str">
        <x:v>57937058575</x:v>
      </x:c>
      <x:c r="C324" s="99" t="str">
        <x:v>XAUUSD</x:v>
      </x:c>
      <x:c r="D324" s="99" t="str">
        <x:v>BUY</x:v>
      </x:c>
      <x:c r="E324" s="99" t="str">
        <x:v>CLOSED (WIN)</x:v>
      </x:c>
      <x:c r="F324" s="129" t="str">
        <x:v>4389.00</x:v>
      </x:c>
      <x:c r="G324" s="129" t="str">
        <x:v>4375.00</x:v>
      </x:c>
      <x:c r="H324" s="129" t="str">
        <x:v>4389.00</x:v>
      </x:c>
      <x:c r="I324" s="129" t="str">
        <x:v>4.50</x:v>
      </x:c>
      <x:c r="J324" s="129" t="str">
        <x:v>0.00</x:v>
      </x:c>
      <x:c r="K324" s="99" t="str">
        <x:v>XAUUSD/TRADING</x:v>
      </x:c>
      <x:c r="L324" s="99" t="str">
        <x:v>WIN</x:v>
      </x:c>
    </x:row>
    <x:row r="325">
      <x:c r="A325" s="99" t="str">
        <x:v>2026-08-12 00:39:18</x:v>
      </x:c>
      <x:c r="B325" s="99" t="str">
        <x:v>57936879283</x:v>
      </x:c>
      <x:c r="C325" s="99" t="str">
        <x:v>XAUUSD</x:v>
      </x:c>
      <x:c r="D325" s="99" t="str">
        <x:v>BUY</x:v>
      </x:c>
      <x:c r="E325" s="99" t="str">
        <x:v>CLOSED (WIN)</x:v>
      </x:c>
      <x:c r="F325" s="129" t="str">
        <x:v>4394.00</x:v>
      </x:c>
      <x:c r="G325" s="129" t="str">
        <x:v>4378.00</x:v>
      </x:c>
      <x:c r="H325" s="129" t="str">
        <x:v>4394.00</x:v>
      </x:c>
      <x:c r="I325" s="129" t="str">
        <x:v>5.50</x:v>
      </x:c>
      <x:c r="J325" s="129" t="str">
        <x:v>0.00</x:v>
      </x:c>
      <x:c r="K325" s="99" t="str">
        <x:v>GOLD MARKET ACADEMY</x:v>
      </x:c>
      <x:c r="L325" s="99" t="str">
        <x:v>WIN</x:v>
      </x:c>
    </x:row>
    <x:row r="326">
      <x:c r="A326" s="99" t="str">
        <x:v>2026-08-12 00:40:43</x:v>
      </x:c>
      <x:c r="B326" s="99" t="str">
        <x:v>57936887987</x:v>
      </x:c>
      <x:c r="C326" s="99" t="str">
        <x:v>XAUUSD</x:v>
      </x:c>
      <x:c r="D326" s="99" t="str">
        <x:v>BUY</x:v>
      </x:c>
      <x:c r="E326" s="99" t="str">
        <x:v>CLOSED (WIN)</x:v>
      </x:c>
      <x:c r="F326" s="129" t="str">
        <x:v>4395.00</x:v>
      </x:c>
      <x:c r="G326" s="129" t="str">
        <x:v>4380.00</x:v>
      </x:c>
      <x:c r="H326" s="129" t="str">
        <x:v>4395.00</x:v>
      </x:c>
      <x:c r="I326" s="129" t="str">
        <x:v>3.00</x:v>
      </x:c>
      <x:c r="J326" s="129" t="str">
        <x:v>0.00</x:v>
      </x:c>
      <x:c r="K326" s="99" t="str">
        <x:v>Michael Fx Trader</x:v>
      </x:c>
      <x:c r="L326" s="99" t="str">
        <x:v>WIN</x:v>
      </x:c>
    </x:row>
    <x:row r="327">
      <x:c r="A327" s="99" t="str">
        <x:v>2026-08-12 00:40:43</x:v>
      </x:c>
      <x:c r="B327" s="99" t="str">
        <x:v>57937333707</x:v>
      </x:c>
      <x:c r="C327" s="99" t="str">
        <x:v>XAUUSD</x:v>
      </x:c>
      <x:c r="D327" s="99" t="str">
        <x:v>BUY</x:v>
      </x:c>
      <x:c r="E327" s="99" t="str">
        <x:v>CLOSED (WIN)</x:v>
      </x:c>
      <x:c r="F327" s="129" t="str">
        <x:v>4395.00</x:v>
      </x:c>
      <x:c r="G327" s="129" t="str">
        <x:v>4376.00</x:v>
      </x:c>
      <x:c r="H327" s="129" t="str">
        <x:v>4395.00</x:v>
      </x:c>
      <x:c r="I327" s="129" t="str">
        <x:v>8.00</x:v>
      </x:c>
      <x:c r="J327" s="129" t="str">
        <x:v>0.00</x:v>
      </x:c>
      <x:c r="K327" s="99" t="str">
        <x:v>FOREX CREDIBLE TRADER</x:v>
      </x:c>
      <x:c r="L327" s="99" t="str">
        <x:v>WIN</x:v>
      </x:c>
    </x:row>
    <x:row r="328">
      <x:c r="A328" s="99" t="str">
        <x:v>2026-08-12 00:51:29</x:v>
      </x:c>
      <x:c r="B328" s="99" t="str">
        <x:v>57937379232</x:v>
      </x:c>
      <x:c r="C328" s="99" t="str">
        <x:v>XAUUSD</x:v>
      </x:c>
      <x:c r="D328" s="99" t="str">
        <x:v>SELL</x:v>
      </x:c>
      <x:c r="E328" s="99" t="str">
        <x:v>CLOSED (LOSS)</x:v>
      </x:c>
      <x:c r="F328" s="129" t="str">
        <x:v>4402.00</x:v>
      </x:c>
      <x:c r="G328" s="129" t="str">
        <x:v>4402.00</x:v>
      </x:c>
      <x:c r="H328" s="129" t="str">
        <x:v>4389.00</x:v>
      </x:c>
      <x:c r="I328" s="129" t="str">
        <x:v>0.00</x:v>
      </x:c>
      <x:c r="J328" s="129" t="str">
        <x:v>9.00</x:v>
      </x:c>
      <x:c r="K328" s="99" t="str">
        <x:v>Skool of Traders</x:v>
      </x:c>
      <x:c r="L328" s="99" t="str">
        <x:v>LOSS</x:v>
      </x:c>
    </x:row>
    <x:row r="329">
      <x:c r="A329" s="99" t="str">
        <x:v>2026-08-12 03:23:44</x:v>
      </x:c>
      <x:c r="B329" s="99" t="str">
        <x:v>57938089407</x:v>
      </x:c>
      <x:c r="C329" s="99" t="str">
        <x:v>XAUUSD</x:v>
      </x:c>
      <x:c r="D329" s="99" t="str">
        <x:v>SELL</x:v>
      </x:c>
      <x:c r="E329" s="99" t="str">
        <x:v>CLOSED (LOSS)</x:v>
      </x:c>
      <x:c r="F329" s="129" t="str">
        <x:v>4420.00</x:v>
      </x:c>
      <x:c r="G329" s="129" t="str">
        <x:v>4420.00</x:v>
      </x:c>
      <x:c r="H329" s="129" t="str">
        <x:v>4400.00</x:v>
      </x:c>
      <x:c r="I329" s="129" t="str">
        <x:v>0.00</x:v>
      </x:c>
      <x:c r="J329" s="129" t="str">
        <x:v>10.00</x:v>
      </x:c>
      <x:c r="K329" s="99" t="str">
        <x:v>Susan Reynolds</x:v>
      </x:c>
      <x:c r="L329" s="99" t="str">
        <x:v>LOSS</x:v>
      </x:c>
    </x:row>
    <x:row r="330">
      <x:c r="A330" s="99" t="str">
        <x:v>2026-08-12 05:29:14</x:v>
      </x:c>
      <x:c r="B330" s="99" t="str">
        <x:v>57940376424</x:v>
      </x:c>
      <x:c r="C330" s="99" t="str">
        <x:v>XAUUSD</x:v>
      </x:c>
      <x:c r="D330" s="99" t="str">
        <x:v>BUY</x:v>
      </x:c>
      <x:c r="E330" s="99" t="str">
        <x:v>CLOSED (WIN)</x:v>
      </x:c>
      <x:c r="F330" s="129" t="str">
        <x:v>4416.00</x:v>
      </x:c>
      <x:c r="G330" s="129" t="str">
        <x:v>4405.00</x:v>
      </x:c>
      <x:c r="H330" s="129" t="str">
        <x:v>4416.00</x:v>
      </x:c>
      <x:c r="I330" s="129" t="str">
        <x:v>6.00</x:v>
      </x:c>
      <x:c r="J330" s="129" t="str">
        <x:v>0.00</x:v>
      </x:c>
      <x:c r="K330" s="99" t="str">
        <x:v>Skool of Traders</x:v>
      </x:c>
      <x:c r="L330" s="99" t="str">
        <x:v>WIN</x:v>
      </x:c>
    </x:row>
    <x:row r="331">
      <x:c r="A331" s="99" t="str">
        <x:v>2026-08-12 06:26:49</x:v>
      </x:c>
      <x:c r="B331" s="99" t="str">
        <x:v>57943425943</x:v>
      </x:c>
      <x:c r="C331" s="99" t="str">
        <x:v>XAUUSD</x:v>
      </x:c>
      <x:c r="D331" s="99" t="str">
        <x:v>BUY</x:v>
      </x:c>
      <x:c r="E331" s="99" t="str">
        <x:v>CLOSED (WIN)</x:v>
      </x:c>
      <x:c r="F331" s="129" t="str">
        <x:v>4409.00</x:v>
      </x:c>
      <x:c r="G331" s="129" t="str">
        <x:v>4396.00</x:v>
      </x:c>
      <x:c r="H331" s="129" t="str">
        <x:v>4409.00</x:v>
      </x:c>
      <x:c r="I331" s="129" t="str">
        <x:v>3.00</x:v>
      </x:c>
      <x:c r="J331" s="129" t="str">
        <x:v>0.00</x:v>
      </x:c>
      <x:c r="K331" s="99" t="str">
        <x:v>Super Forex _0TM</x:v>
      </x:c>
      <x:c r="L331" s="99" t="str">
        <x:v>WIN</x:v>
      </x:c>
    </x:row>
    <x:row r="332">
      <x:c r="A332" s="99" t="str">
        <x:v>2026-08-12 06:29:39</x:v>
      </x:c>
      <x:c r="B332" s="99" t="str">
        <x:v>57943137109</x:v>
      </x:c>
      <x:c r="C332" s="99" t="str">
        <x:v>XAUUSD</x:v>
      </x:c>
      <x:c r="D332" s="99" t="str">
        <x:v>SELL</x:v>
      </x:c>
      <x:c r="E332" s="99" t="str">
        <x:v>CLOSED (LOSS)</x:v>
      </x:c>
      <x:c r="F332" s="129" t="str">
        <x:v>4420.00</x:v>
      </x:c>
      <x:c r="G332" s="129" t="str">
        <x:v>4420.00</x:v>
      </x:c>
      <x:c r="H332" s="129" t="str">
        <x:v>4411.00</x:v>
      </x:c>
      <x:c r="I332" s="129" t="str">
        <x:v>0.00</x:v>
      </x:c>
      <x:c r="J332" s="129" t="str">
        <x:v>5.50</x:v>
      </x:c>
      <x:c r="K332" s="99" t="str">
        <x:v>Wall Street Traders Club</x:v>
      </x:c>
      <x:c r="L332" s="99" t="str">
        <x:v>LOSS</x:v>
      </x:c>
    </x:row>
    <x:row r="333">
      <x:c r="A333" s="99" t="str">
        <x:v>2026-08-12 06:29:55</x:v>
      </x:c>
      <x:c r="B333" s="99" t="str">
        <x:v>57941556610</x:v>
      </x:c>
      <x:c r="C333" s="99" t="str">
        <x:v>XAUUSD</x:v>
      </x:c>
      <x:c r="D333" s="99" t="str">
        <x:v>BUY</x:v>
      </x:c>
      <x:c r="E333" s="99" t="str">
        <x:v>CLOSED (WIN)</x:v>
      </x:c>
      <x:c r="F333" s="129" t="str">
        <x:v>4423.00</x:v>
      </x:c>
      <x:c r="G333" s="129" t="str">
        <x:v>4401.00</x:v>
      </x:c>
      <x:c r="H333" s="129" t="str">
        <x:v>4423.00</x:v>
      </x:c>
      <x:c r="I333" s="129" t="str">
        <x:v>6.00</x:v>
      </x:c>
      <x:c r="J333" s="129" t="str">
        <x:v>0.00</x:v>
      </x:c>
      <x:c r="K333" s="99" t="str">
        <x:v>GOLD SCALPER</x:v>
      </x:c>
      <x:c r="L333" s="99" t="str">
        <x:v>WIN</x:v>
      </x:c>
    </x:row>
    <x:row r="334">
      <x:c r="A334" s="99" t="str">
        <x:v>2026-08-12 06:30:05</x:v>
      </x:c>
      <x:c r="B334" s="99" t="str">
        <x:v>57942080167</x:v>
      </x:c>
      <x:c r="C334" s="99" t="str">
        <x:v>XAUUSD</x:v>
      </x:c>
      <x:c r="D334" s="99" t="str">
        <x:v>SELL</x:v>
      </x:c>
      <x:c r="E334" s="99" t="str">
        <x:v>CLOSED (LOSS)</x:v>
      </x:c>
      <x:c r="F334" s="129" t="str">
        <x:v>4429.00</x:v>
      </x:c>
      <x:c r="G334" s="129" t="str">
        <x:v>4429.00</x:v>
      </x:c>
      <x:c r="H334" s="129" t="str">
        <x:v>4412.00</x:v>
      </x:c>
      <x:c r="I334" s="129" t="str">
        <x:v>0.00</x:v>
      </x:c>
      <x:c r="J334" s="129" t="str">
        <x:v>11.50</x:v>
      </x:c>
      <x:c r="K334" s="99" t="str">
        <x:v>GOLD ANALYSIS EXPERTS</x:v>
      </x:c>
      <x:c r="L334" s="99" t="str">
        <x:v>LOSS</x:v>
      </x:c>
    </x:row>
    <x:row r="335">
      <x:c r="A335" s="99" t="str">
        <x:v>2026-08-12 06:30:15</x:v>
      </x:c>
      <x:c r="B335" s="99" t="str">
        <x:v>57943335840</x:v>
      </x:c>
      <x:c r="C335" s="99" t="str">
        <x:v>XAUUSD</x:v>
      </x:c>
      <x:c r="D335" s="99" t="str">
        <x:v>SELL</x:v>
      </x:c>
      <x:c r="E335" s="99" t="str">
        <x:v>CLOSED (LOSS)</x:v>
      </x:c>
      <x:c r="F335" s="129" t="str">
        <x:v>4433.00</x:v>
      </x:c>
      <x:c r="G335" s="129" t="str">
        <x:v>4433.00</x:v>
      </x:c>
      <x:c r="H335" s="129" t="str">
        <x:v>4415.00</x:v>
      </x:c>
      <x:c r="I335" s="129" t="str">
        <x:v>0.00</x:v>
      </x:c>
      <x:c r="J335" s="129" t="str">
        <x:v>15.00</x:v>
      </x:c>
      <x:c r="K335" s="99" t="str">
        <x:v>XAUUSD US30 MASTE</x:v>
      </x:c>
      <x:c r="L335" s="99" t="str">
        <x:v>LOSS</x:v>
      </x:c>
    </x:row>
    <x:row r="336">
      <x:c r="A336" s="99" t="str">
        <x:v>2026-08-12 06:35:35</x:v>
      </x:c>
      <x:c r="B336" s="99" t="str">
        <x:v>57944690881</x:v>
      </x:c>
      <x:c r="C336" s="99" t="str">
        <x:v>XAUUSD</x:v>
      </x:c>
      <x:c r="D336" s="99" t="str">
        <x:v>SELL</x:v>
      </x:c>
      <x:c r="E336" s="99" t="str">
        <x:v>CLOSED (WIN)</x:v>
      </x:c>
      <x:c r="F336" s="129" t="str">
        <x:v>4422.00</x:v>
      </x:c>
      <x:c r="G336" s="129" t="str">
        <x:v>4438.00</x:v>
      </x:c>
      <x:c r="H336" s="129" t="str">
        <x:v>4422.00</x:v>
      </x:c>
      <x:c r="I336" s="129" t="str">
        <x:v>6.00</x:v>
      </x:c>
      <x:c r="J336" s="129" t="str">
        <x:v>0.00</x:v>
      </x:c>
      <x:c r="K336" s="99" t="str">
        <x:v>|| XAUUSD Usa Sniper ||</x:v>
      </x:c>
      <x:c r="L336" s="99" t="str">
        <x:v>WIN</x:v>
      </x:c>
    </x:row>
    <x:row r="337">
      <x:c r="A337" s="99" t="str">
        <x:v>2026-08-12 06:43:06</x:v>
      </x:c>
      <x:c r="B337" s="99" t="str">
        <x:v>57944355023</x:v>
      </x:c>
      <x:c r="C337" s="99" t="str">
        <x:v>XAUUSD</x:v>
      </x:c>
      <x:c r="D337" s="99" t="str">
        <x:v>SELL</x:v>
      </x:c>
      <x:c r="E337" s="99" t="str">
        <x:v>CLOSED (LOSS)</x:v>
      </x:c>
      <x:c r="F337" s="129" t="str">
        <x:v>4434.00</x:v>
      </x:c>
      <x:c r="G337" s="129" t="str">
        <x:v>4434.00</x:v>
      </x:c>
      <x:c r="H337" s="129" t="str">
        <x:v>4412.00</x:v>
      </x:c>
      <x:c r="I337" s="129" t="str">
        <x:v>0.00</x:v>
      </x:c>
      <x:c r="J337" s="129" t="str">
        <x:v>16.50</x:v>
      </x:c>
      <x:c r="K337" s="99" t="str">
        <x:v>GOLD ANALYSIS EXPERTS</x:v>
      </x:c>
      <x:c r="L337" s="99" t="str">
        <x:v>LOSS</x:v>
      </x:c>
    </x:row>
    <x:row r="338">
      <x:c r="A338" s="99" t="str">
        <x:v>2026-08-12 06:57:07</x:v>
      </x:c>
      <x:c r="B338" s="99" t="str">
        <x:v>57945105569</x:v>
      </x:c>
      <x:c r="C338" s="99" t="str">
        <x:v>XAUUSD</x:v>
      </x:c>
      <x:c r="D338" s="99" t="str">
        <x:v>BUY</x:v>
      </x:c>
      <x:c r="E338" s="99" t="str">
        <x:v>CLOSED (WIN)</x:v>
      </x:c>
      <x:c r="F338" s="129" t="str">
        <x:v>4430.00</x:v>
      </x:c>
      <x:c r="G338" s="129" t="str">
        <x:v>4415.00</x:v>
      </x:c>
      <x:c r="H338" s="129" t="str">
        <x:v>4430.00</x:v>
      </x:c>
      <x:c r="I338" s="129" t="str">
        <x:v>6.00</x:v>
      </x:c>
      <x:c r="J338" s="129" t="str">
        <x:v>0.00</x:v>
      </x:c>
      <x:c r="K338" s="99" t="str">
        <x:v>FOREX CREDIBLE TRADER</x:v>
      </x:c>
      <x:c r="L338" s="99" t="str">
        <x:v>WIN</x:v>
      </x:c>
    </x:row>
    <x:row r="339">
      <x:c r="A339" s="99" t="str">
        <x:v>2026-08-12 07:43:27</x:v>
      </x:c>
      <x:c r="B339" s="99" t="str">
        <x:v>57946666127</x:v>
      </x:c>
      <x:c r="C339" s="99" t="str">
        <x:v>XAUUSD</x:v>
      </x:c>
      <x:c r="D339" s="99" t="str">
        <x:v>BUY</x:v>
      </x:c>
      <x:c r="E339" s="99" t="str">
        <x:v>CLOSED (WIN)</x:v>
      </x:c>
      <x:c r="F339" s="129" t="str">
        <x:v>4417.00</x:v>
      </x:c>
      <x:c r="G339" s="129" t="str">
        <x:v>4405.00</x:v>
      </x:c>
      <x:c r="H339" s="129" t="str">
        <x:v>4417.00</x:v>
      </x:c>
      <x:c r="I339" s="129" t="str">
        <x:v>6.50</x:v>
      </x:c>
      <x:c r="J339" s="129" t="str">
        <x:v>0.00</x:v>
      </x:c>
      <x:c r="K339" s="99" t="str">
        <x:v>GOLD Paradise Channel</x:v>
      </x:c>
      <x:c r="L339" s="99" t="str">
        <x:v>WIN</x:v>
      </x:c>
    </x:row>
    <x:row r="340">
      <x:c r="A340" s="99" t="str">
        <x:v>2026-08-12 08:31:12</x:v>
      </x:c>
      <x:c r="B340" s="99" t="str">
        <x:v>57946310331</x:v>
      </x:c>
      <x:c r="C340" s="99" t="str">
        <x:v>XAUUSD</x:v>
      </x:c>
      <x:c r="D340" s="99" t="str">
        <x:v>SELL</x:v>
      </x:c>
      <x:c r="E340" s="99" t="str">
        <x:v>CLOSED (WIN)</x:v>
      </x:c>
      <x:c r="F340" s="129" t="str">
        <x:v>4430.00</x:v>
      </x:c>
      <x:c r="G340" s="129" t="str">
        <x:v>4451.00</x:v>
      </x:c>
      <x:c r="H340" s="129" t="str">
        <x:v>4430.00</x:v>
      </x:c>
      <x:c r="I340" s="129" t="str">
        <x:v>8.50</x:v>
      </x:c>
      <x:c r="J340" s="129" t="str">
        <x:v>0.00</x:v>
      </x:c>
      <x:c r="K340" s="99" t="str">
        <x:v>GildedEdge Fx</x:v>
      </x:c>
      <x:c r="L340" s="99" t="str">
        <x:v>WIN</x:v>
      </x:c>
    </x:row>
    <x:row r="341">
      <x:c r="A341" s="99" t="str">
        <x:v>2026-08-12 08:31:12</x:v>
      </x:c>
      <x:c r="B341" s="99" t="str">
        <x:v>57948241107</x:v>
      </x:c>
      <x:c r="C341" s="99" t="str">
        <x:v>XAUUSD</x:v>
      </x:c>
      <x:c r="D341" s="99" t="str">
        <x:v>SELL</x:v>
      </x:c>
      <x:c r="E341" s="99" t="str">
        <x:v>CLOSED (WIN)</x:v>
      </x:c>
      <x:c r="F341" s="129" t="str">
        <x:v>4428.00</x:v>
      </x:c>
      <x:c r="G341" s="129" t="str">
        <x:v>4448.00</x:v>
      </x:c>
      <x:c r="H341" s="129" t="str">
        <x:v>4428.00</x:v>
      </x:c>
      <x:c r="I341" s="129" t="str">
        <x:v>10.00</x:v>
      </x:c>
      <x:c r="J341" s="129" t="str">
        <x:v>0.00</x:v>
      </x:c>
      <x:c r="K341" s="99" t="str">
        <x:v>Susan Reynolds</x:v>
      </x:c>
      <x:c r="L341" s="99" t="str">
        <x:v>WIN</x:v>
      </x:c>
    </x:row>
    <x:row r="342">
      <x:c r="A342" s="99" t="str">
        <x:v>2026-08-12 08:36:07</x:v>
      </x:c>
      <x:c r="B342" s="99" t="str">
        <x:v>57947488032</x:v>
      </x:c>
      <x:c r="C342" s="99" t="str">
        <x:v>XAUUSD</x:v>
      </x:c>
      <x:c r="D342" s="99" t="str">
        <x:v>BUY</x:v>
      </x:c>
      <x:c r="E342" s="99" t="str">
        <x:v>CLOSED (WIN)</x:v>
      </x:c>
      <x:c r="F342" s="129" t="str">
        <x:v>4420.00</x:v>
      </x:c>
      <x:c r="G342" s="129" t="str">
        <x:v>4406.00</x:v>
      </x:c>
      <x:c r="H342" s="129" t="str">
        <x:v>4420.00</x:v>
      </x:c>
      <x:c r="I342" s="129" t="str">
        <x:v>2.56</x:v>
      </x:c>
      <x:c r="J342" s="129" t="str">
        <x:v>0.00</x:v>
      </x:c>
      <x:c r="K342" s="99" t="str">
        <x:v>SKY PiPSTM</x:v>
      </x:c>
      <x:c r="L342" s="99" t="str">
        <x:v>WIN</x:v>
      </x:c>
    </x:row>
    <x:row r="343">
      <x:c r="A343" s="99" t="str">
        <x:v>2026-08-12 08:36:57</x:v>
      </x:c>
      <x:c r="B343" s="99" t="str">
        <x:v>57948552640</x:v>
      </x:c>
      <x:c r="C343" s="99" t="str">
        <x:v>XAUUSD</x:v>
      </x:c>
      <x:c r="D343" s="99" t="str">
        <x:v>BUY</x:v>
      </x:c>
      <x:c r="E343" s="99" t="str">
        <x:v>CLOSED (WIN)</x:v>
      </x:c>
      <x:c r="F343" s="129" t="str">
        <x:v>4423.00</x:v>
      </x:c>
      <x:c r="G343" s="129" t="str">
        <x:v>4411.00</x:v>
      </x:c>
      <x:c r="H343" s="129" t="str">
        <x:v>4423.00</x:v>
      </x:c>
      <x:c r="I343" s="129" t="str">
        <x:v>6.00</x:v>
      </x:c>
      <x:c r="J343" s="129" t="str">
        <x:v>0.00</x:v>
      </x:c>
      <x:c r="K343" s="99" t="str">
        <x:v>Scalper Gold Nexus</x:v>
      </x:c>
      <x:c r="L343" s="99" t="str">
        <x:v>WIN</x:v>
      </x:c>
    </x:row>
    <x:row r="344">
      <x:c r="A344" s="99" t="str">
        <x:v>2026-08-12 08:51:09</x:v>
      </x:c>
      <x:c r="B344" s="99" t="str">
        <x:v>57948906939</x:v>
      </x:c>
      <x:c r="C344" s="99" t="str">
        <x:v>XAUUSD</x:v>
      </x:c>
      <x:c r="D344" s="99" t="str">
        <x:v>SELL</x:v>
      </x:c>
      <x:c r="E344" s="99" t="str">
        <x:v>CLOSED (WIN)</x:v>
      </x:c>
      <x:c r="F344" s="129" t="str">
        <x:v>4420.00</x:v>
      </x:c>
      <x:c r="G344" s="129" t="str">
        <x:v>4434.00</x:v>
      </x:c>
      <x:c r="H344" s="129" t="str">
        <x:v>4420.00</x:v>
      </x:c>
      <x:c r="I344" s="129" t="str">
        <x:v>4.00</x:v>
      </x:c>
      <x:c r="J344" s="129" t="str">
        <x:v>0.00</x:v>
      </x:c>
      <x:c r="K344" s="99" t="str">
        <x:v>Skool of Traders</x:v>
      </x:c>
      <x:c r="L344" s="99" t="str">
        <x:v>WIN</x:v>
      </x:c>
    </x:row>
    <x:row r="345">
      <x:c r="A345" s="99" t="str">
        <x:v>2026-08-12 09:08:41</x:v>
      </x:c>
      <x:c r="B345" s="99" t="str">
        <x:v>57948711516</x:v>
      </x:c>
      <x:c r="C345" s="99" t="str">
        <x:v>XAUUSD</x:v>
      </x:c>
      <x:c r="D345" s="99" t="str">
        <x:v>BUY</x:v>
      </x:c>
      <x:c r="E345" s="99" t="str">
        <x:v>CLOSED (WIN)</x:v>
      </x:c>
      <x:c r="F345" s="129" t="str">
        <x:v>4423.00</x:v>
      </x:c>
      <x:c r="G345" s="129" t="str">
        <x:v>4408.00</x:v>
      </x:c>
      <x:c r="H345" s="129" t="str">
        <x:v>4423.00</x:v>
      </x:c>
      <x:c r="I345" s="129" t="str">
        <x:v>7.00</x:v>
      </x:c>
      <x:c r="J345" s="129" t="str">
        <x:v>0.00</x:v>
      </x:c>
      <x:c r="K345" s="99" t="str">
        <x:v>GildedEdge Fx</x:v>
      </x:c>
      <x:c r="L345" s="99" t="str">
        <x:v>WIN</x:v>
      </x:c>
    </x:row>
    <x:row r="346">
      <x:c r="A346" s="99" t="str">
        <x:v>2026-08-12 09:55:45</x:v>
      </x:c>
      <x:c r="B346" s="99" t="str">
        <x:v>57950477183</x:v>
      </x:c>
      <x:c r="C346" s="99" t="str">
        <x:v>XAUUSD</x:v>
      </x:c>
      <x:c r="D346" s="99" t="str">
        <x:v>BUY</x:v>
      </x:c>
      <x:c r="E346" s="99" t="str">
        <x:v>CLOSED (WIN)</x:v>
      </x:c>
      <x:c r="F346" s="129" t="str">
        <x:v>4419.00</x:v>
      </x:c>
      <x:c r="G346" s="129" t="str">
        <x:v>4404.00</x:v>
      </x:c>
      <x:c r="H346" s="129" t="str">
        <x:v>4419.00</x:v>
      </x:c>
      <x:c r="I346" s="129" t="str">
        <x:v>3.00</x:v>
      </x:c>
      <x:c r="J346" s="129" t="str">
        <x:v>0.00</x:v>
      </x:c>
      <x:c r="K346" s="99" t="str">
        <x:v>XAUUSD US30 MASTE</x:v>
      </x:c>
      <x:c r="L346" s="99" t="str">
        <x:v>WIN</x:v>
      </x:c>
    </x:row>
    <x:row r="347">
      <x:c r="A347" s="99" t="str">
        <x:v>2026-08-12 18:50:04</x:v>
      </x:c>
      <x:c r="B347" s="99" t="str">
        <x:v>57955931324</x:v>
      </x:c>
      <x:c r="C347" s="99" t="str">
        <x:v>XAUUSD</x:v>
      </x:c>
      <x:c r="D347" s="99" t="str">
        <x:v>BUY</x:v>
      </x:c>
      <x:c r="E347" s="99" t="str">
        <x:v>CLOSED (LOSS)</x:v>
      </x:c>
      <x:c r="F347" s="129" t="str">
        <x:v>4429.00</x:v>
      </x:c>
      <x:c r="G347" s="129" t="str">
        <x:v>4429.00</x:v>
      </x:c>
      <x:c r="H347" s="129" t="str">
        <x:v>4442.00</x:v>
      </x:c>
      <x:c r="I347" s="129" t="str">
        <x:v>0.00</x:v>
      </x:c>
      <x:c r="J347" s="129" t="str">
        <x:v>8.50</x:v>
      </x:c>
      <x:c r="K347" s="99" t="str">
        <x:v>BLUE PIPSTM</x:v>
      </x:c>
      <x:c r="L347" s="99" t="str">
        <x:v>LOSS</x:v>
      </x:c>
    </x:row>
    <x:row r="348">
      <x:c r="A348" s="99" t="str">
        <x:v>2026-08-12 19:02:30</x:v>
      </x:c>
      <x:c r="B348" s="99" t="str">
        <x:v>57956083262</x:v>
      </x:c>
      <x:c r="C348" s="99" t="str">
        <x:v>XAUUSD</x:v>
      </x:c>
      <x:c r="D348" s="99" t="str">
        <x:v>BUY</x:v>
      </x:c>
      <x:c r="E348" s="99" t="str">
        <x:v>CLOSED (WIN)</x:v>
      </x:c>
      <x:c r="F348" s="129" t="str">
        <x:v>4431.00</x:v>
      </x:c>
      <x:c r="G348" s="129" t="str">
        <x:v>4418.00</x:v>
      </x:c>
      <x:c r="H348" s="129" t="str">
        <x:v>4431.00</x:v>
      </x:c>
      <x:c r="I348" s="129" t="str">
        <x:v>4.50</x:v>
      </x:c>
      <x:c r="J348" s="129" t="str">
        <x:v>0.00</x:v>
      </x:c>
      <x:c r="K348" s="99" t="str">
        <x:v>BLUE PIPSTM</x:v>
      </x:c>
      <x:c r="L348" s="99" t="str">
        <x:v>WIN</x:v>
      </x:c>
    </x:row>
    <x:row r="349">
      <x:c r="A349" s="99" t="str">
        <x:v>2026-08-12 19:04:25</x:v>
      </x:c>
      <x:c r="B349" s="99" t="str">
        <x:v>57955815508</x:v>
      </x:c>
      <x:c r="C349" s="99" t="str">
        <x:v>XAUUSD</x:v>
      </x:c>
      <x:c r="D349" s="99" t="str">
        <x:v>BUY</x:v>
      </x:c>
      <x:c r="E349" s="99" t="str">
        <x:v>CLOSED (WIN)</x:v>
      </x:c>
      <x:c r="F349" s="129" t="str">
        <x:v>4433.00</x:v>
      </x:c>
      <x:c r="G349" s="129" t="str">
        <x:v>4420.00</x:v>
      </x:c>
      <x:c r="H349" s="129" t="str">
        <x:v>4433.00</x:v>
      </x:c>
      <x:c r="I349" s="129" t="str">
        <x:v>3.00</x:v>
      </x:c>
      <x:c r="J349" s="129" t="str">
        <x:v>0.00</x:v>
      </x:c>
      <x:c r="K349" s="99" t="str">
        <x:v>XAUUSD US30 MASTE</x:v>
      </x:c>
      <x:c r="L349" s="99" t="str">
        <x:v>WIN</x:v>
      </x:c>
    </x:row>
    <x:row r="350">
      <x:c r="A350" s="99" t="str">
        <x:v>2026-08-12 19:40:04</x:v>
      </x:c>
      <x:c r="B350" s="99" t="str">
        <x:v>57956449012</x:v>
      </x:c>
      <x:c r="C350" s="99" t="str">
        <x:v>XAUUSD</x:v>
      </x:c>
      <x:c r="D350" s="99" t="str">
        <x:v>SELL</x:v>
      </x:c>
      <x:c r="E350" s="99" t="str">
        <x:v>CLOSED (WIN)</x:v>
      </x:c>
      <x:c r="F350" s="129" t="str">
        <x:v>4424.00</x:v>
      </x:c>
      <x:c r="G350" s="129" t="str">
        <x:v>4444.00</x:v>
      </x:c>
      <x:c r="H350" s="129" t="str">
        <x:v>4424.00</x:v>
      </x:c>
      <x:c r="I350" s="129" t="str">
        <x:v>4.00</x:v>
      </x:c>
      <x:c r="J350" s="129" t="str">
        <x:v>0.00</x:v>
      </x:c>
      <x:c r="K350" s="99" t="str">
        <x:v>Forex treding</x:v>
      </x:c>
      <x:c r="L350" s="99" t="str">
        <x:v>WIN</x:v>
      </x:c>
    </x:row>
    <x:row r="351">
      <x:c r="A351" s="99" t="str">
        <x:v>2026-08-12 19:55:30</x:v>
      </x:c>
      <x:c r="B351" s="99" t="str">
        <x:v>57956738376</x:v>
      </x:c>
      <x:c r="C351" s="99" t="str">
        <x:v>XAUUSD</x:v>
      </x:c>
      <x:c r="D351" s="99" t="str">
        <x:v>BUY</x:v>
      </x:c>
      <x:c r="E351" s="99" t="str">
        <x:v>CLOSED (WIN)</x:v>
      </x:c>
      <x:c r="F351" s="129" t="str">
        <x:v>4416.00</x:v>
      </x:c>
      <x:c r="G351" s="129" t="str">
        <x:v>4394.00</x:v>
      </x:c>
      <x:c r="H351" s="129" t="str">
        <x:v>4416.00</x:v>
      </x:c>
      <x:c r="I351" s="129" t="str">
        <x:v>6.00</x:v>
      </x:c>
      <x:c r="J351" s="129" t="str">
        <x:v>0.00</x:v>
      </x:c>
      <x:c r="K351" s="99" t="str">
        <x:v>GOLD SCALPER</x:v>
      </x:c>
      <x:c r="L351" s="99" t="str">
        <x:v>WIN</x:v>
      </x:c>
    </x:row>
    <x:row r="352">
      <x:c r="A352" s="99" t="str">
        <x:v>2026-08-12 20:02:06</x:v>
      </x:c>
      <x:c r="B352" s="99" t="str">
        <x:v>57955509277</x:v>
      </x:c>
      <x:c r="C352" s="99" t="str">
        <x:v>XAUUSD</x:v>
      </x:c>
      <x:c r="D352" s="99" t="str">
        <x:v>BUY</x:v>
      </x:c>
      <x:c r="E352" s="99" t="str">
        <x:v>CLOSED (LOSS)</x:v>
      </x:c>
      <x:c r="F352" s="129" t="str">
        <x:v>4406.00</x:v>
      </x:c>
      <x:c r="G352" s="129" t="str">
        <x:v>4406.00</x:v>
      </x:c>
      <x:c r="H352" s="129" t="str">
        <x:v>4419.00</x:v>
      </x:c>
      <x:c r="I352" s="129" t="str">
        <x:v>0.00</x:v>
      </x:c>
      <x:c r="J352" s="129" t="str">
        <x:v>10.44</x:v>
      </x:c>
      <x:c r="K352" s="99" t="str">
        <x:v>SKY PiPSTM</x:v>
      </x:c>
      <x:c r="L352" s="99" t="str">
        <x:v>LOSS</x:v>
      </x:c>
    </x:row>
    <x:row r="353">
      <x:c r="A353" s="99" t="str">
        <x:v>2026-08-12 20:09:32</x:v>
      </x:c>
      <x:c r="B353" s="99" t="str">
        <x:v>57956735604</x:v>
      </x:c>
      <x:c r="C353" s="99" t="str">
        <x:v>XAUUSD</x:v>
      </x:c>
      <x:c r="D353" s="99" t="str">
        <x:v>BUY</x:v>
      </x:c>
      <x:c r="E353" s="99" t="str">
        <x:v>CLOSED (WIN)</x:v>
      </x:c>
      <x:c r="F353" s="129" t="str">
        <x:v>4412.00</x:v>
      </x:c>
      <x:c r="G353" s="129" t="str">
        <x:v>4399.00</x:v>
      </x:c>
      <x:c r="H353" s="129" t="str">
        <x:v>4412.00</x:v>
      </x:c>
      <x:c r="I353" s="129" t="str">
        <x:v>5.00</x:v>
      </x:c>
      <x:c r="J353" s="129" t="str">
        <x:v>0.00</x:v>
      </x:c>
      <x:c r="K353" s="99" t="str">
        <x:v>BLUE PIPSTM</x:v>
      </x:c>
      <x:c r="L353" s="99" t="str">
        <x:v>WIN</x:v>
      </x:c>
    </x:row>
    <x:row r="354">
      <x:c r="A354" s="99" t="str">
        <x:v>2026-08-12 20:39:50</x:v>
      </x:c>
      <x:c r="B354" s="99" t="str">
        <x:v>57956924602</x:v>
      </x:c>
      <x:c r="C354" s="99" t="str">
        <x:v>XAUUSD</x:v>
      </x:c>
      <x:c r="D354" s="99" t="str">
        <x:v>BUY</x:v>
      </x:c>
      <x:c r="E354" s="99" t="str">
        <x:v>CLOSED (WIN)</x:v>
      </x:c>
      <x:c r="F354" s="129" t="str">
        <x:v>4408.00</x:v>
      </x:c>
      <x:c r="G354" s="129" t="str">
        <x:v>4395.00</x:v>
      </x:c>
      <x:c r="H354" s="129" t="str">
        <x:v>4408.00</x:v>
      </x:c>
      <x:c r="I354" s="129" t="str">
        <x:v>3.00</x:v>
      </x:c>
      <x:c r="J354" s="129" t="str">
        <x:v>0.00</x:v>
      </x:c>
      <x:c r="K354" s="99" t="str">
        <x:v>Super Forex _0TM</x:v>
      </x:c>
      <x:c r="L354" s="99" t="str">
        <x:v>WIN</x:v>
      </x:c>
    </x:row>
    <x:row r="355">
      <x:c r="A355" s="99" t="str">
        <x:v>2026-08-12 23:43:33</x:v>
      </x:c>
      <x:c r="B355" s="99" t="str">
        <x:v>57959206885</x:v>
      </x:c>
      <x:c r="C355" s="99" t="str">
        <x:v>XAUUSD</x:v>
      </x:c>
      <x:c r="D355" s="99" t="str">
        <x:v>BUY</x:v>
      </x:c>
      <x:c r="E355" s="99" t="str">
        <x:v>CLOSED (LOSS)</x:v>
      </x:c>
      <x:c r="F355" s="129" t="str">
        <x:v>4390.00</x:v>
      </x:c>
      <x:c r="G355" s="129" t="str">
        <x:v>4390.00</x:v>
      </x:c>
      <x:c r="H355" s="129" t="str">
        <x:v>4402.00</x:v>
      </x:c>
      <x:c r="I355" s="129" t="str">
        <x:v>0.00</x:v>
      </x:c>
      <x:c r="J355" s="129" t="str">
        <x:v>9.00</x:v>
      </x:c>
      <x:c r="K355" s="99" t="str">
        <x:v>XAUUSD US30 MASTE</x:v>
      </x:c>
      <x:c r="L355" s="99" t="str">
        <x:v>LOSS</x:v>
      </x:c>
    </x:row>
    <x:row r="356">
      <x:c r="A356" s="99" t="str">
        <x:v>2026-08-12 23:59:15</x:v>
      </x:c>
      <x:c r="B356" s="99" t="str">
        <x:v>57958631612</x:v>
      </x:c>
      <x:c r="C356" s="99" t="str">
        <x:v>XAUUSD</x:v>
      </x:c>
      <x:c r="D356" s="99" t="str">
        <x:v>BUY</x:v>
      </x:c>
      <x:c r="E356" s="99" t="str">
        <x:v>CLOSED (LOSS)</x:v>
      </x:c>
      <x:c r="F356" s="129" t="str">
        <x:v>4382.00</x:v>
      </x:c>
      <x:c r="G356" s="129" t="str">
        <x:v>4382.00</x:v>
      </x:c>
      <x:c r="H356" s="129" t="str">
        <x:v>4400.00</x:v>
      </x:c>
      <x:c r="I356" s="129" t="str">
        <x:v>0.00</x:v>
      </x:c>
      <x:c r="J356" s="129" t="str">
        <x:v>10.50</x:v>
      </x:c>
      <x:c r="K356" s="99" t="str">
        <x:v>GOLD MARKET ACADEMY</x:v>
      </x:c>
      <x:c r="L356" s="99" t="str">
        <x:v>LOSS</x:v>
      </x:c>
    </x:row>
    <x:row r="357">
      <x:c r="A357" s="99" t="str">
        <x:v>2026-08-13 00:04:30</x:v>
      </x:c>
      <x:c r="B357" s="99" t="str">
        <x:v>57959323599</x:v>
      </x:c>
      <x:c r="C357" s="99" t="str">
        <x:v>XAUUSD</x:v>
      </x:c>
      <x:c r="D357" s="99" t="str">
        <x:v>BUY</x:v>
      </x:c>
      <x:c r="E357" s="99" t="str">
        <x:v>CLOSED (LOSS)</x:v>
      </x:c>
      <x:c r="F357" s="129" t="str">
        <x:v>4378.00</x:v>
      </x:c>
      <x:c r="G357" s="129" t="str">
        <x:v>4378.00</x:v>
      </x:c>
      <x:c r="H357" s="129" t="str">
        <x:v>4391.00</x:v>
      </x:c>
      <x:c r="I357" s="129" t="str">
        <x:v>0.00</x:v>
      </x:c>
      <x:c r="J357" s="129" t="str">
        <x:v>10.00</x:v>
      </x:c>
      <x:c r="K357" s="99" t="str">
        <x:v>Super Forex _0TM</x:v>
      </x:c>
      <x:c r="L357" s="99" t="str">
        <x:v>LOSS</x:v>
      </x:c>
    </x:row>
    <x:row r="358">
      <x:c r="A358" s="99" t="str">
        <x:v>2026-08-13 00:16:46</x:v>
      </x:c>
      <x:c r="B358" s="99" t="str">
        <x:v>57959784686</x:v>
      </x:c>
      <x:c r="C358" s="99" t="str">
        <x:v>XAUUSD</x:v>
      </x:c>
      <x:c r="D358" s="99" t="str">
        <x:v>BUY</x:v>
      </x:c>
      <x:c r="E358" s="99" t="str">
        <x:v>CLOSED (WIN)</x:v>
      </x:c>
      <x:c r="F358" s="129" t="str">
        <x:v>4378.00</x:v>
      </x:c>
      <x:c r="G358" s="129" t="str">
        <x:v>4366.00</x:v>
      </x:c>
      <x:c r="H358" s="129" t="str">
        <x:v>4378.00</x:v>
      </x:c>
      <x:c r="I358" s="129" t="str">
        <x:v>2.00</x:v>
      </x:c>
      <x:c r="J358" s="129" t="str">
        <x:v>0.00</x:v>
      </x:c>
      <x:c r="K358" s="99" t="str">
        <x:v>JACKY GOLD PRO TRADER</x:v>
      </x:c>
      <x:c r="L358" s="99" t="str">
        <x:v>WIN</x:v>
      </x:c>
    </x:row>
    <x:row r="359">
      <x:c r="A359" s="99" t="str">
        <x:v>2026-08-13 00:51:50</x:v>
      </x:c>
      <x:c r="B359" s="99" t="str">
        <x:v>57960032488</x:v>
      </x:c>
      <x:c r="C359" s="99" t="str">
        <x:v>XAUUSD</x:v>
      </x:c>
      <x:c r="D359" s="99" t="str">
        <x:v>BUY</x:v>
      </x:c>
      <x:c r="E359" s="99" t="str">
        <x:v>CLOSED (WIN)</x:v>
      </x:c>
      <x:c r="F359" s="129" t="str">
        <x:v>4380.00</x:v>
      </x:c>
      <x:c r="G359" s="129" t="str">
        <x:v>4365.00</x:v>
      </x:c>
      <x:c r="H359" s="129" t="str">
        <x:v>4380.00</x:v>
      </x:c>
      <x:c r="I359" s="129" t="str">
        <x:v>6.00</x:v>
      </x:c>
      <x:c r="J359" s="129" t="str">
        <x:v>0.00</x:v>
      </x:c>
      <x:c r="K359" s="99" t="str">
        <x:v>FOREX CREDIBLE TRADER</x:v>
      </x:c>
      <x:c r="L359" s="99" t="str">
        <x:v>WIN</x:v>
      </x:c>
    </x:row>
    <x:row r="360">
      <x:c r="A360" s="99" t="str">
        <x:v>2026-08-13 02:00:42</x:v>
      </x:c>
      <x:c r="B360" s="99" t="str">
        <x:v>57960551725</x:v>
      </x:c>
      <x:c r="C360" s="99" t="str">
        <x:v>XAUUSD</x:v>
      </x:c>
      <x:c r="D360" s="99" t="str">
        <x:v>BUY</x:v>
      </x:c>
      <x:c r="E360" s="99" t="str">
        <x:v>CLOSED (LOSS)</x:v>
      </x:c>
      <x:c r="F360" s="129" t="str">
        <x:v>4368.00</x:v>
      </x:c>
      <x:c r="G360" s="129" t="str">
        <x:v>4368.00</x:v>
      </x:c>
      <x:c r="H360" s="129" t="str">
        <x:v>4380.00</x:v>
      </x:c>
      <x:c r="I360" s="129" t="str">
        <x:v>0.00</x:v>
      </x:c>
      <x:c r="J360" s="129" t="str">
        <x:v>5.50</x:v>
      </x:c>
      <x:c r="K360" s="99" t="str">
        <x:v>GOLD Paradise Channel</x:v>
      </x:c>
      <x:c r="L360" s="99" t="str">
        <x:v>LOSS</x:v>
      </x:c>
    </x:row>
    <x:row r="361">
      <x:c r="A361" s="99" t="str">
        <x:v>2026-08-13 02:27:00</x:v>
      </x:c>
      <x:c r="B361" s="99" t="str">
        <x:v>57959809044</x:v>
      </x:c>
      <x:c r="C361" s="99" t="str">
        <x:v>XAUUSD</x:v>
      </x:c>
      <x:c r="D361" s="99" t="str">
        <x:v>BUY</x:v>
      </x:c>
      <x:c r="E361" s="99" t="str">
        <x:v>CLOSED (WIN)</x:v>
      </x:c>
      <x:c r="F361" s="129" t="str">
        <x:v>4372.00</x:v>
      </x:c>
      <x:c r="G361" s="129" t="str">
        <x:v>4360.00</x:v>
      </x:c>
      <x:c r="H361" s="129" t="str">
        <x:v>4372.00</x:v>
      </x:c>
      <x:c r="I361" s="129" t="str">
        <x:v>6.00</x:v>
      </x:c>
      <x:c r="J361" s="129" t="str">
        <x:v>0.00</x:v>
      </x:c>
      <x:c r="K361" s="99" t="str">
        <x:v>Scalper Gold Nexus</x:v>
      </x:c>
      <x:c r="L361" s="99" t="str">
        <x:v>WIN</x:v>
      </x:c>
    </x:row>
    <x:row r="362">
      <x:c r="A362" s="99" t="str">
        <x:v>2026-08-13 05:15:08</x:v>
      </x:c>
      <x:c r="B362" s="99" t="str">
        <x:v>57960652066</x:v>
      </x:c>
      <x:c r="C362" s="99" t="str">
        <x:v>XAUUSD</x:v>
      </x:c>
      <x:c r="D362" s="99" t="str">
        <x:v>SELL</x:v>
      </x:c>
      <x:c r="E362" s="99" t="str">
        <x:v>CLOSED (LOSS)</x:v>
      </x:c>
      <x:c r="F362" s="129" t="str">
        <x:v>4395.00</x:v>
      </x:c>
      <x:c r="G362" s="129" t="str">
        <x:v>4395.00</x:v>
      </x:c>
      <x:c r="H362" s="129" t="str">
        <x:v>4375.00</x:v>
      </x:c>
      <x:c r="I362" s="129" t="str">
        <x:v>0.00</x:v>
      </x:c>
      <x:c r="J362" s="129" t="str">
        <x:v>10.00</x:v>
      </x:c>
      <x:c r="K362" s="99" t="str">
        <x:v>Susan Reynolds</x:v>
      </x:c>
      <x:c r="L362" s="99" t="str">
        <x:v>LOSS</x:v>
      </x:c>
    </x:row>
    <x:row r="363">
      <x:c r="A363" s="99" t="str">
        <x:v>2026-08-13 05:28:40</x:v>
      </x:c>
      <x:c r="B363" s="99" t="str">
        <x:v>57962964891</x:v>
      </x:c>
      <x:c r="C363" s="99" t="str">
        <x:v>XAUUSD</x:v>
      </x:c>
      <x:c r="D363" s="99" t="str">
        <x:v>SELL</x:v>
      </x:c>
      <x:c r="E363" s="99" t="str">
        <x:v>CLOSED (WIN)</x:v>
      </x:c>
      <x:c r="F363" s="129" t="str">
        <x:v>4390.00</x:v>
      </x:c>
      <x:c r="G363" s="129" t="str">
        <x:v>4401.00</x:v>
      </x:c>
      <x:c r="H363" s="129" t="str">
        <x:v>4390.00</x:v>
      </x:c>
      <x:c r="I363" s="129" t="str">
        <x:v>5.00</x:v>
      </x:c>
      <x:c r="J363" s="129" t="str">
        <x:v>0.00</x:v>
      </x:c>
      <x:c r="K363" s="99" t="str">
        <x:v>Scalper Gold Nexus</x:v>
      </x:c>
      <x:c r="L363" s="99" t="str">
        <x:v>WIN</x:v>
      </x:c>
    </x:row>
    <x:row r="364">
      <x:c r="A364" s="99" t="str">
        <x:v>2026-08-13 06:07:13</x:v>
      </x:c>
      <x:c r="B364" s="99" t="str">
        <x:v>57965187514</x:v>
      </x:c>
      <x:c r="C364" s="99" t="str">
        <x:v>XAUUSD</x:v>
      </x:c>
      <x:c r="D364" s="99" t="str">
        <x:v>BUY</x:v>
      </x:c>
      <x:c r="E364" s="99" t="str">
        <x:v>CLOSED (WIN)</x:v>
      </x:c>
      <x:c r="F364" s="129" t="str">
        <x:v>4390.00</x:v>
      </x:c>
      <x:c r="G364" s="129" t="str">
        <x:v>4377.00</x:v>
      </x:c>
      <x:c r="H364" s="129" t="str">
        <x:v>4390.00</x:v>
      </x:c>
      <x:c r="I364" s="129" t="str">
        <x:v>3.00</x:v>
      </x:c>
      <x:c r="J364" s="129" t="str">
        <x:v>0.00</x:v>
      </x:c>
      <x:c r="K364" s="99" t="str">
        <x:v>Super Forex _0TM</x:v>
      </x:c>
      <x:c r="L364" s="99" t="str">
        <x:v>WIN</x:v>
      </x:c>
    </x:row>
    <x:row r="365">
      <x:c r="A365" s="99" t="str">
        <x:v>2026-08-13 06:30:06</x:v>
      </x:c>
      <x:c r="B365" s="99" t="str">
        <x:v>57964940678</x:v>
      </x:c>
      <x:c r="C365" s="99" t="str">
        <x:v>XAUUSD</x:v>
      </x:c>
      <x:c r="D365" s="99" t="str">
        <x:v>BUY</x:v>
      </x:c>
      <x:c r="E365" s="99" t="str">
        <x:v>CLOSED (WIN)</x:v>
      </x:c>
      <x:c r="F365" s="129" t="str">
        <x:v>4393.00</x:v>
      </x:c>
      <x:c r="G365" s="129" t="str">
        <x:v>4380.00</x:v>
      </x:c>
      <x:c r="H365" s="129" t="str">
        <x:v>4393.00</x:v>
      </x:c>
      <x:c r="I365" s="129" t="str">
        <x:v>6.00</x:v>
      </x:c>
      <x:c r="J365" s="129" t="str">
        <x:v>0.00</x:v>
      </x:c>
      <x:c r="K365" s="99" t="str">
        <x:v>Skool of Traders</x:v>
      </x:c>
      <x:c r="L365" s="99" t="str">
        <x:v>WIN</x:v>
      </x:c>
    </x:row>
    <x:row r="366">
      <x:c r="A366" s="99" t="str">
        <x:v>2026-08-13 06:34:06</x:v>
      </x:c>
      <x:c r="B366" s="99" t="str">
        <x:v>57966118590</x:v>
      </x:c>
      <x:c r="C366" s="99" t="str">
        <x:v>XAUUSD</x:v>
      </x:c>
      <x:c r="D366" s="99" t="str">
        <x:v>BUY</x:v>
      </x:c>
      <x:c r="E366" s="99" t="str">
        <x:v>CLOSED (WIN)</x:v>
      </x:c>
      <x:c r="F366" s="129" t="str">
        <x:v>4390.00</x:v>
      </x:c>
      <x:c r="G366" s="129" t="str">
        <x:v>4368.00</x:v>
      </x:c>
      <x:c r="H366" s="129" t="str">
        <x:v>4390.00</x:v>
      </x:c>
      <x:c r="I366" s="129" t="str">
        <x:v>6.00</x:v>
      </x:c>
      <x:c r="J366" s="129" t="str">
        <x:v>0.00</x:v>
      </x:c>
      <x:c r="K366" s="99" t="str">
        <x:v>GOLD SCALPER</x:v>
      </x:c>
      <x:c r="L366" s="99" t="str">
        <x:v>WIN</x:v>
      </x:c>
    </x:row>
    <x:row r="367">
      <x:c r="A367" s="99" t="str">
        <x:v>2026-08-13 06:59:44</x:v>
      </x:c>
      <x:c r="B367" s="99" t="str">
        <x:v>57965513235</x:v>
      </x:c>
      <x:c r="C367" s="99" t="str">
        <x:v>XAUUSD</x:v>
      </x:c>
      <x:c r="D367" s="99" t="str">
        <x:v>BUY</x:v>
      </x:c>
      <x:c r="E367" s="99" t="str">
        <x:v>CLOSED (WIN)</x:v>
      </x:c>
      <x:c r="F367" s="129" t="str">
        <x:v>4401.00</x:v>
      </x:c>
      <x:c r="G367" s="129" t="str">
        <x:v>4370.00</x:v>
      </x:c>
      <x:c r="H367" s="129" t="str">
        <x:v>4401.00</x:v>
      </x:c>
      <x:c r="I367" s="129" t="str">
        <x:v>18.00</x:v>
      </x:c>
      <x:c r="J367" s="129" t="str">
        <x:v>0.00</x:v>
      </x:c>
      <x:c r="K367" s="99" t="str">
        <x:v>XAUUSD US30 MASTE</x:v>
      </x:c>
      <x:c r="L367" s="99" t="str">
        <x:v>WIN</x:v>
      </x:c>
    </x:row>
    <x:row r="368">
      <x:c r="A368" s="99" t="str">
        <x:v>2026-08-13 07:25:51</x:v>
      </x:c>
      <x:c r="B368" s="99" t="str">
        <x:v>57967901891</x:v>
      </x:c>
      <x:c r="C368" s="99" t="str">
        <x:v>XAUUSD</x:v>
      </x:c>
      <x:c r="D368" s="99" t="str">
        <x:v>BUY</x:v>
      </x:c>
      <x:c r="E368" s="99" t="str">
        <x:v>CLOSED (LOSS)</x:v>
      </x:c>
      <x:c r="F368" s="129" t="str">
        <x:v>4386.00</x:v>
      </x:c>
      <x:c r="G368" s="129" t="str">
        <x:v>4386.00</x:v>
      </x:c>
      <x:c r="H368" s="129" t="str">
        <x:v>4399.00</x:v>
      </x:c>
      <x:c r="I368" s="129" t="str">
        <x:v>0.00</x:v>
      </x:c>
      <x:c r="J368" s="129" t="str">
        <x:v>6.50</x:v>
      </x:c>
      <x:c r="K368" s="99" t="str">
        <x:v>Eliz FX Academy</x:v>
      </x:c>
      <x:c r="L368" s="99" t="str">
        <x:v>LOSS</x:v>
      </x:c>
    </x:row>
    <x:row r="369">
      <x:c r="A369" s="99" t="str">
        <x:v>2026-08-13 07:29:26</x:v>
      </x:c>
      <x:c r="B369" s="99" t="str">
        <x:v>57966885999</x:v>
      </x:c>
      <x:c r="C369" s="99" t="str">
        <x:v>XAUUSD</x:v>
      </x:c>
      <x:c r="D369" s="99" t="str">
        <x:v>SELL</x:v>
      </x:c>
      <x:c r="E369" s="99" t="str">
        <x:v>CLOSED (WIN)</x:v>
      </x:c>
      <x:c r="F369" s="129" t="str">
        <x:v>4385.00</x:v>
      </x:c>
      <x:c r="G369" s="129" t="str">
        <x:v>4410.00</x:v>
      </x:c>
      <x:c r="H369" s="129" t="str">
        <x:v>4385.00</x:v>
      </x:c>
      <x:c r="I369" s="129" t="str">
        <x:v>5.00</x:v>
      </x:c>
      <x:c r="J369" s="129" t="str">
        <x:v>0.00</x:v>
      </x:c>
      <x:c r="K369" s="99" t="str">
        <x:v>Michael Bennett</x:v>
      </x:c>
      <x:c r="L369" s="99" t="str">
        <x:v>WIN</x:v>
      </x:c>
    </x:row>
    <x:row r="370">
      <x:c r="A370" s="99" t="str">
        <x:v>2026-08-13 07:46:23</x:v>
      </x:c>
      <x:c r="B370" s="99" t="str">
        <x:v>57968724833</x:v>
      </x:c>
      <x:c r="C370" s="99" t="str">
        <x:v>XAUUSD</x:v>
      </x:c>
      <x:c r="D370" s="99" t="str">
        <x:v>SELL</x:v>
      </x:c>
      <x:c r="E370" s="99" t="str">
        <x:v>CLOSED (WIN)</x:v>
      </x:c>
      <x:c r="F370" s="129" t="str">
        <x:v>4376.00</x:v>
      </x:c>
      <x:c r="G370" s="129" t="str">
        <x:v>4389.00</x:v>
      </x:c>
      <x:c r="H370" s="129" t="str">
        <x:v>4376.00</x:v>
      </x:c>
      <x:c r="I370" s="129" t="str">
        <x:v>4.50</x:v>
      </x:c>
      <x:c r="J370" s="129" t="str">
        <x:v>0.00</x:v>
      </x:c>
      <x:c r="K370" s="99" t="str">
        <x:v>BLUE PIPSTM</x:v>
      </x:c>
      <x:c r="L370" s="99" t="str">
        <x:v>WIN</x:v>
      </x:c>
    </x:row>
    <x:row r="371">
      <x:c r="A371" s="99" t="str">
        <x:v>2026-08-13 07:53:04</x:v>
      </x:c>
      <x:c r="B371" s="99" t="str">
        <x:v>57966213641</x:v>
      </x:c>
      <x:c r="C371" s="99" t="str">
        <x:v>XAUUSD</x:v>
      </x:c>
      <x:c r="D371" s="99" t="str">
        <x:v>BUY</x:v>
      </x:c>
      <x:c r="E371" s="99" t="str">
        <x:v>CLOSED (LOSS)</x:v>
      </x:c>
      <x:c r="F371" s="129" t="str">
        <x:v>4372.00</x:v>
      </x:c>
      <x:c r="G371" s="129" t="str">
        <x:v>4372.00</x:v>
      </x:c>
      <x:c r="H371" s="129" t="str">
        <x:v>4494.00</x:v>
      </x:c>
      <x:c r="I371" s="129" t="str">
        <x:v>0.00</x:v>
      </x:c>
      <x:c r="J371" s="129" t="str">
        <x:v>10.00</x:v>
      </x:c>
      <x:c r="K371" s="99" t="str">
        <x:v>GOLD MARKET ACADEMY</x:v>
      </x:c>
      <x:c r="L371" s="99" t="str">
        <x:v>LOSS</x:v>
      </x:c>
    </x:row>
    <x:row r="372">
      <x:c r="A372" s="99" t="str">
        <x:v>2026-08-13 08:30:13</x:v>
      </x:c>
      <x:c r="B372" s="99" t="str">
        <x:v>57968357733</x:v>
      </x:c>
      <x:c r="C372" s="99" t="str">
        <x:v>XAUUSD</x:v>
      </x:c>
      <x:c r="D372" s="99" t="str">
        <x:v>BUY</x:v>
      </x:c>
      <x:c r="E372" s="99" t="str">
        <x:v>CLOSED (LOSS)</x:v>
      </x:c>
      <x:c r="F372" s="129" t="str">
        <x:v>4365.00</x:v>
      </x:c>
      <x:c r="G372" s="129" t="str">
        <x:v>4365.00</x:v>
      </x:c>
      <x:c r="H372" s="129" t="str">
        <x:v>4379.00</x:v>
      </x:c>
      <x:c r="I372" s="129" t="str">
        <x:v>0.00</x:v>
      </x:c>
      <x:c r="J372" s="129" t="str">
        <x:v>7.50</x:v>
      </x:c>
      <x:c r="K372" s="99" t="str">
        <x:v>Scalper Gold Nexus</x:v>
      </x:c>
      <x:c r="L372" s="99" t="str">
        <x:v>LOSS</x:v>
      </x:c>
    </x:row>
    <x:row r="373">
      <x:c r="A373" s="99" t="str">
        <x:v>2026-08-13 08:30:18</x:v>
      </x:c>
      <x:c r="B373" s="99" t="str">
        <x:v>57969062264</x:v>
      </x:c>
      <x:c r="C373" s="99" t="str">
        <x:v>XAUUSD</x:v>
      </x:c>
      <x:c r="D373" s="99" t="str">
        <x:v>BUY</x:v>
      </x:c>
      <x:c r="E373" s="99" t="str">
        <x:v>CLOSED (LOSS)</x:v>
      </x:c>
      <x:c r="F373" s="129" t="str">
        <x:v>4364.00</x:v>
      </x:c>
      <x:c r="G373" s="129" t="str">
        <x:v>4364.00</x:v>
      </x:c>
      <x:c r="H373" s="129" t="str">
        <x:v>4386.00</x:v>
      </x:c>
      <x:c r="I373" s="129" t="str">
        <x:v>0.00</x:v>
      </x:c>
      <x:c r="J373" s="129" t="str">
        <x:v>11.00</x:v>
      </x:c>
      <x:c r="K373" s="99" t="str">
        <x:v>GOLD MARKET ACADEMY</x:v>
      </x:c>
      <x:c r="L373" s="99" t="str">
        <x:v>LOSS</x:v>
      </x:c>
    </x:row>
    <x:row r="374">
      <x:c r="A374" s="99" t="str">
        <x:v>2026-08-13 08:31:08</x:v>
      </x:c>
      <x:c r="B374" s="99" t="str">
        <x:v>57969508772</x:v>
      </x:c>
      <x:c r="C374" s="99" t="str">
        <x:v>XAUUSD</x:v>
      </x:c>
      <x:c r="D374" s="99" t="str">
        <x:v>BUY</x:v>
      </x:c>
      <x:c r="E374" s="99" t="str">
        <x:v>CLOSED (WIN)</x:v>
      </x:c>
      <x:c r="F374" s="129" t="str">
        <x:v>4365.00</x:v>
      </x:c>
      <x:c r="G374" s="129" t="str">
        <x:v>4353.00</x:v>
      </x:c>
      <x:c r="H374" s="129" t="str">
        <x:v>4365.00</x:v>
      </x:c>
      <x:c r="I374" s="129" t="str">
        <x:v>6.50</x:v>
      </x:c>
      <x:c r="J374" s="129" t="str">
        <x:v>0.00</x:v>
      </x:c>
      <x:c r="K374" s="99" t="str">
        <x:v>GOLD Paradise Channel</x:v>
      </x:c>
      <x:c r="L374" s="99" t="str">
        <x:v>WIN</x:v>
      </x:c>
    </x:row>
    <x:row r="375">
      <x:c r="A375" s="99" t="str">
        <x:v>2026-08-13 08:48:15</x:v>
      </x:c>
      <x:c r="B375" s="99" t="str">
        <x:v>57970559914</x:v>
      </x:c>
      <x:c r="C375" s="99" t="str">
        <x:v>XAUUSD</x:v>
      </x:c>
      <x:c r="D375" s="99" t="str">
        <x:v>SELL</x:v>
      </x:c>
      <x:c r="E375" s="99" t="str">
        <x:v>CLOSED (LOSS)</x:v>
      </x:c>
      <x:c r="F375" s="129" t="str">
        <x:v>4387.00</x:v>
      </x:c>
      <x:c r="G375" s="129" t="str">
        <x:v>4387.00</x:v>
      </x:c>
      <x:c r="H375" s="129" t="str">
        <x:v>4374.00</x:v>
      </x:c>
      <x:c r="I375" s="129" t="str">
        <x:v>0.00</x:v>
      </x:c>
      <x:c r="J375" s="129" t="str">
        <x:v>9.00</x:v>
      </x:c>
      <x:c r="K375" s="99" t="str">
        <x:v>Skool of Traders</x:v>
      </x:c>
      <x:c r="L375" s="99" t="str">
        <x:v>LOSS</x:v>
      </x:c>
    </x:row>
    <x:row r="376">
      <x:c r="A376" s="99" t="str">
        <x:v>2026-08-13 13:15:16</x:v>
      </x:c>
      <x:c r="B376" s="99" t="str">
        <x:v>57970439792</x:v>
      </x:c>
      <x:c r="C376" s="99" t="str">
        <x:v>XAUUSD</x:v>
      </x:c>
      <x:c r="D376" s="99" t="str">
        <x:v>BUY</x:v>
      </x:c>
      <x:c r="E376" s="99" t="str">
        <x:v>CLOSED (LOSS)</x:v>
      </x:c>
      <x:c r="F376" s="129" t="str">
        <x:v>4345.00</x:v>
      </x:c>
      <x:c r="G376" s="129" t="str">
        <x:v>4345.00</x:v>
      </x:c>
      <x:c r="H376" s="129" t="str">
        <x:v>5360.00</x:v>
      </x:c>
      <x:c r="I376" s="129" t="str">
        <x:v>0.00</x:v>
      </x:c>
      <x:c r="J376" s="129" t="str">
        <x:v>9.00</x:v>
      </x:c>
      <x:c r="K376" s="99" t="str">
        <x:v>Gold Trader Avi</x:v>
      </x:c>
      <x:c r="L376" s="99" t="str">
        <x:v>LOSS</x:v>
      </x:c>
    </x:row>
    <x:row r="377">
      <x:c r="A377" s="99" t="str">
        <x:v>2026-08-13 18:49:00</x:v>
      </x:c>
      <x:c r="B377" s="99" t="str">
        <x:v>57975611533</x:v>
      </x:c>
      <x:c r="C377" s="99" t="str">
        <x:v>XAUUSD</x:v>
      </x:c>
      <x:c r="D377" s="99" t="str">
        <x:v>BUY</x:v>
      </x:c>
      <x:c r="E377" s="99" t="str">
        <x:v>CLOSED (LOSS)</x:v>
      </x:c>
      <x:c r="F377" s="129" t="str">
        <x:v>4330.00</x:v>
      </x:c>
      <x:c r="G377" s="129" t="str">
        <x:v>4330.00</x:v>
      </x:c>
      <x:c r="H377" s="129" t="str">
        <x:v>4474.00</x:v>
      </x:c>
      <x:c r="I377" s="129" t="str">
        <x:v>0.00</x:v>
      </x:c>
      <x:c r="J377" s="129" t="str">
        <x:v>26.13</x:v>
      </x:c>
      <x:c r="K377" s="99" t="str">
        <x:v>XAUUSD US30 MASTE</x:v>
      </x:c>
      <x:c r="L377" s="99" t="str">
        <x:v>LOSS</x:v>
      </x:c>
    </x:row>
    <x:row r="378">
      <x:c r="A378" s="99" t="str">
        <x:v>2026-08-13 19:37:15</x:v>
      </x:c>
      <x:c r="B378" s="99" t="str">
        <x:v>57978616517</x:v>
      </x:c>
      <x:c r="C378" s="99" t="str">
        <x:v>XAUUSD</x:v>
      </x:c>
      <x:c r="D378" s="99" t="str">
        <x:v>BUY</x:v>
      </x:c>
      <x:c r="E378" s="99" t="str">
        <x:v>CLOSED (WIN)</x:v>
      </x:c>
      <x:c r="F378" s="129" t="str">
        <x:v>4319.00</x:v>
      </x:c>
      <x:c r="G378" s="129" t="str">
        <x:v>4302.00</x:v>
      </x:c>
      <x:c r="H378" s="129" t="str">
        <x:v>4319.00</x:v>
      </x:c>
      <x:c r="I378" s="129" t="str">
        <x:v>4.00</x:v>
      </x:c>
      <x:c r="J378" s="129" t="str">
        <x:v>0.00</x:v>
      </x:c>
      <x:c r="K378" s="99" t="str">
        <x:v>Forex treding</x:v>
      </x:c>
      <x:c r="L378" s="99" t="str">
        <x:v>WIN</x:v>
      </x:c>
    </x:row>
    <x:row r="379">
      <x:c r="A379" s="99" t="str">
        <x:v>2026-08-13 19:48:06</x:v>
      </x:c>
      <x:c r="B379" s="99" t="str">
        <x:v>57978798151</x:v>
      </x:c>
      <x:c r="C379" s="99" t="str">
        <x:v>XAUUSD</x:v>
      </x:c>
      <x:c r="D379" s="99" t="str">
        <x:v>SELL</x:v>
      </x:c>
      <x:c r="E379" s="99" t="str">
        <x:v>CLOSED (WIN)</x:v>
      </x:c>
      <x:c r="F379" s="129" t="str">
        <x:v>4317.00</x:v>
      </x:c>
      <x:c r="G379" s="129" t="str">
        <x:v>4330.00</x:v>
      </x:c>
      <x:c r="H379" s="129" t="str">
        <x:v>4317.00</x:v>
      </x:c>
      <x:c r="I379" s="129" t="str">
        <x:v>4.50</x:v>
      </x:c>
      <x:c r="J379" s="129" t="str">
        <x:v>0.00</x:v>
      </x:c>
      <x:c r="K379" s="99" t="str">
        <x:v>BLUE PIPSTM</x:v>
      </x:c>
      <x:c r="L379" s="99" t="str">
        <x:v>WIN</x:v>
      </x:c>
    </x:row>
    <x:row r="380">
      <x:c r="A380" s="99" t="str">
        <x:v>2026-08-13 20:34:56</x:v>
      </x:c>
      <x:c r="B380" s="99" t="str">
        <x:v>57979265400</x:v>
      </x:c>
      <x:c r="C380" s="99" t="str">
        <x:v>XAUUSD</x:v>
      </x:c>
      <x:c r="D380" s="99" t="str">
        <x:v>BUY</x:v>
      </x:c>
      <x:c r="E380" s="99" t="str">
        <x:v>CLOSED (WIN)</x:v>
      </x:c>
      <x:c r="F380" s="129" t="str">
        <x:v>4321.00</x:v>
      </x:c>
      <x:c r="G380" s="129" t="str">
        <x:v>4307.00</x:v>
      </x:c>
      <x:c r="H380" s="129" t="str">
        <x:v>4321.00</x:v>
      </x:c>
      <x:c r="I380" s="129" t="str">
        <x:v>8.50</x:v>
      </x:c>
      <x:c r="J380" s="129" t="str">
        <x:v>0.00</x:v>
      </x:c>
      <x:c r="K380" s="99" t="str">
        <x:v>Eliz FX Academy</x:v>
      </x:c>
      <x:c r="L380" s="99" t="str">
        <x:v>WIN</x:v>
      </x:c>
    </x:row>
    <x:row r="381">
      <x:c r="A381" s="99" t="str">
        <x:v>2026-08-13 21:09:19</x:v>
      </x:c>
      <x:c r="B381" s="99" t="str">
        <x:v>57978866127</x:v>
      </x:c>
      <x:c r="C381" s="99" t="str">
        <x:v>XAUUSD</x:v>
      </x:c>
      <x:c r="D381" s="99" t="str">
        <x:v>SELL</x:v>
      </x:c>
      <x:c r="E381" s="99" t="str">
        <x:v>CLOSED (WIN)</x:v>
      </x:c>
      <x:c r="F381" s="129" t="str">
        <x:v>4320.00</x:v>
      </x:c>
      <x:c r="G381" s="129" t="str">
        <x:v>4333.00</x:v>
      </x:c>
      <x:c r="H381" s="129" t="str">
        <x:v>4320.00</x:v>
      </x:c>
      <x:c r="I381" s="129" t="str">
        <x:v>3.00</x:v>
      </x:c>
      <x:c r="J381" s="129" t="str">
        <x:v>0.00</x:v>
      </x:c>
      <x:c r="K381" s="99" t="str">
        <x:v>Super Forex _0TM</x:v>
      </x:c>
      <x:c r="L381" s="99" t="str">
        <x:v>WIN</x:v>
      </x:c>
    </x:row>
    <x:row r="382">
      <x:c r="A382" s="99" t="str">
        <x:v>2026-08-13 22:04:40</x:v>
      </x:c>
      <x:c r="B382" s="99" t="str">
        <x:v>57979913668</x:v>
      </x:c>
      <x:c r="C382" s="99" t="str">
        <x:v>XAUUSD</x:v>
      </x:c>
      <x:c r="D382" s="99" t="str">
        <x:v>SELL</x:v>
      </x:c>
      <x:c r="E382" s="99" t="str">
        <x:v>CLOSED (WIN)</x:v>
      </x:c>
      <x:c r="F382" s="129" t="str">
        <x:v>4323.00</x:v>
      </x:c>
      <x:c r="G382" s="129" t="str">
        <x:v>4336.00</x:v>
      </x:c>
      <x:c r="H382" s="129" t="str">
        <x:v>4323.00</x:v>
      </x:c>
      <x:c r="I382" s="129" t="str">
        <x:v>3.43</x:v>
      </x:c>
      <x:c r="J382" s="129" t="str">
        <x:v>0.00</x:v>
      </x:c>
      <x:c r="K382" s="99" t="str">
        <x:v>SKY PiPSTM</x:v>
      </x:c>
      <x:c r="L382" s="99" t="str">
        <x:v>WIN</x:v>
      </x:c>
    </x:row>
    <x:row r="383">
      <x:c r="A383" s="99" t="str">
        <x:v>2026-08-13 23:30:08</x:v>
      </x:c>
      <x:c r="B383" s="99" t="str">
        <x:v>57980477666</x:v>
      </x:c>
      <x:c r="C383" s="99" t="str">
        <x:v>XAUUSD</x:v>
      </x:c>
      <x:c r="D383" s="99" t="str">
        <x:v>BUY</x:v>
      </x:c>
      <x:c r="E383" s="99" t="str">
        <x:v>CLOSED (LOSS)</x:v>
      </x:c>
      <x:c r="F383" s="129" t="str">
        <x:v>4315.00</x:v>
      </x:c>
      <x:c r="G383" s="129" t="str">
        <x:v>4315.00</x:v>
      </x:c>
      <x:c r="H383" s="129" t="str">
        <x:v>4328.00</x:v>
      </x:c>
      <x:c r="I383" s="129" t="str">
        <x:v>0.00</x:v>
      </x:c>
      <x:c r="J383" s="129" t="str">
        <x:v>8.50</x:v>
      </x:c>
      <x:c r="K383" s="99" t="str">
        <x:v>XAUUSD/TRADING</x:v>
      </x:c>
      <x:c r="L383" s="99" t="str">
        <x:v>LOSS</x:v>
      </x:c>
    </x:row>
    <x:row r="384">
      <x:c r="A384" s="99" t="str">
        <x:v>2026-08-13 23:50:25</x:v>
      </x:c>
      <x:c r="B384" s="99" t="str">
        <x:v>57980218084</x:v>
      </x:c>
      <x:c r="C384" s="99" t="str">
        <x:v>XAUUSD</x:v>
      </x:c>
      <x:c r="D384" s="99" t="str">
        <x:v>BUY</x:v>
      </x:c>
      <x:c r="E384" s="99" t="str">
        <x:v>CLOSED (WIN)</x:v>
      </x:c>
      <x:c r="F384" s="129" t="str">
        <x:v>4326.00</x:v>
      </x:c>
      <x:c r="G384" s="129" t="str">
        <x:v>4308.00</x:v>
      </x:c>
      <x:c r="H384" s="129" t="str">
        <x:v>4326.00</x:v>
      </x:c>
      <x:c r="I384" s="129" t="str">
        <x:v>5.50</x:v>
      </x:c>
      <x:c r="J384" s="129" t="str">
        <x:v>0.00</x:v>
      </x:c>
      <x:c r="K384" s="99" t="str">
        <x:v>Gold Trader Avi</x:v>
      </x:c>
      <x:c r="L384" s="99" t="str">
        <x:v>WIN</x:v>
      </x:c>
    </x:row>
    <x:row r="385">
      <x:c r="A385" s="99" t="str">
        <x:v>2026-08-14 00:02:11</x:v>
      </x:c>
      <x:c r="B385" s="99" t="str">
        <x:v>57979103352</x:v>
      </x:c>
      <x:c r="C385" s="99" t="str">
        <x:v>XAUUSD</x:v>
      </x:c>
      <x:c r="D385" s="99" t="str">
        <x:v>SELL</x:v>
      </x:c>
      <x:c r="E385" s="99" t="str">
        <x:v>CLOSED (LOSS)</x:v>
      </x:c>
      <x:c r="F385" s="129" t="str">
        <x:v>4335.00</x:v>
      </x:c>
      <x:c r="G385" s="129" t="str">
        <x:v>4335.00</x:v>
      </x:c>
      <x:c r="H385" s="129" t="str">
        <x:v>4301.00</x:v>
      </x:c>
      <x:c r="I385" s="129" t="str">
        <x:v>0.00</x:v>
      </x:c>
      <x:c r="J385" s="129" t="str">
        <x:v>16.00</x:v>
      </x:c>
      <x:c r="K385" s="99" t="str">
        <x:v>XAUUSD US30 MASTE</x:v>
      </x:c>
      <x:c r="L385" s="99" t="str">
        <x:v>LOSS</x:v>
      </x:c>
    </x:row>
    <x:row r="386">
      <x:c r="A386" s="99" t="str">
        <x:v>2026-08-14 00:11:07</x:v>
      </x:c>
      <x:c r="B386" s="99" t="str">
        <x:v>57981406603</x:v>
      </x:c>
      <x:c r="C386" s="99" t="str">
        <x:v>XAUUSD</x:v>
      </x:c>
      <x:c r="D386" s="99" t="str">
        <x:v>SELL</x:v>
      </x:c>
      <x:c r="E386" s="99" t="str">
        <x:v>CLOSED (WIN)</x:v>
      </x:c>
      <x:c r="F386" s="129" t="str">
        <x:v>4330.00</x:v>
      </x:c>
      <x:c r="G386" s="129" t="str">
        <x:v>4345.00</x:v>
      </x:c>
      <x:c r="H386" s="129" t="str">
        <x:v>4330.00</x:v>
      </x:c>
      <x:c r="I386" s="129" t="str">
        <x:v>3.00</x:v>
      </x:c>
      <x:c r="J386" s="129" t="str">
        <x:v>0.00</x:v>
      </x:c>
      <x:c r="K386" s="99" t="str">
        <x:v>GOLD ANALYSIS EXPERTS</x:v>
      </x:c>
      <x:c r="L386" s="99" t="str">
        <x:v>WIN</x:v>
      </x:c>
    </x:row>
    <x:row r="387">
      <x:c r="A387" s="99" t="str">
        <x:v>2026-08-14 01:41:06</x:v>
      </x:c>
      <x:c r="B387" s="99" t="str">
        <x:v>57980530195</x:v>
      </x:c>
      <x:c r="C387" s="99" t="str">
        <x:v>XAUUSD</x:v>
      </x:c>
      <x:c r="D387" s="99" t="str">
        <x:v>SELL</x:v>
      </x:c>
      <x:c r="E387" s="99" t="str">
        <x:v>CLOSED (LOSS)</x:v>
      </x:c>
      <x:c r="F387" s="129" t="str">
        <x:v>4338.00</x:v>
      </x:c>
      <x:c r="G387" s="129" t="str">
        <x:v>4338.00</x:v>
      </x:c>
      <x:c r="H387" s="129" t="str">
        <x:v>4322.00</x:v>
      </x:c>
      <x:c r="I387" s="129" t="str">
        <x:v>0.00</x:v>
      </x:c>
      <x:c r="J387" s="129" t="str">
        <x:v>10.00</x:v>
      </x:c>
      <x:c r="K387" s="99" t="str">
        <x:v>GOLD MARKET ACADEMY</x:v>
      </x:c>
      <x:c r="L387" s="99" t="str">
        <x:v>LOSS</x:v>
      </x:c>
    </x:row>
    <x:row r="388">
      <x:c r="A388" s="99" t="str">
        <x:v>2026-08-14 01:41:46</x:v>
      </x:c>
      <x:c r="B388" s="99" t="str">
        <x:v>57980526067</x:v>
      </x:c>
      <x:c r="C388" s="99" t="str">
        <x:v>XAUUSD</x:v>
      </x:c>
      <x:c r="D388" s="99" t="str">
        <x:v>SELL</x:v>
      </x:c>
      <x:c r="E388" s="99" t="str">
        <x:v>CLOSED (LOSS)</x:v>
      </x:c>
      <x:c r="F388" s="129" t="str">
        <x:v>4339.00</x:v>
      </x:c>
      <x:c r="G388" s="129" t="str">
        <x:v>4339.00</x:v>
      </x:c>
      <x:c r="H388" s="129" t="str">
        <x:v>4322.00</x:v>
      </x:c>
      <x:c r="I388" s="129" t="str">
        <x:v>0.00</x:v>
      </x:c>
      <x:c r="J388" s="129" t="str">
        <x:v>11.00</x:v>
      </x:c>
      <x:c r="K388" s="99" t="str">
        <x:v>GOLD MARKET ACADEMY</x:v>
      </x:c>
      <x:c r="L388" s="99" t="str">
        <x:v>LOSS</x:v>
      </x:c>
    </x:row>
    <x:row r="389">
      <x:c r="A389" s="99" t="str">
        <x:v>2026-08-14 02:00:33</x:v>
      </x:c>
      <x:c r="B389" s="99" t="str">
        <x:v>57982889330</x:v>
      </x:c>
      <x:c r="C389" s="99" t="str">
        <x:v>XAUUSD</x:v>
      </x:c>
      <x:c r="D389" s="99" t="str">
        <x:v>SELL</x:v>
      </x:c>
      <x:c r="E389" s="99" t="str">
        <x:v>CLOSED (LOSS)</x:v>
      </x:c>
      <x:c r="F389" s="129" t="str">
        <x:v>4348.00</x:v>
      </x:c>
      <x:c r="G389" s="129" t="str">
        <x:v>4348.00</x:v>
      </x:c>
      <x:c r="H389" s="129" t="str">
        <x:v>4336.00</x:v>
      </x:c>
      <x:c r="I389" s="129" t="str">
        <x:v>0.00</x:v>
      </x:c>
      <x:c r="J389" s="129" t="str">
        <x:v>6.00</x:v>
      </x:c>
      <x:c r="K389" s="99" t="str">
        <x:v>GOLD Paradise Channel</x:v>
      </x:c>
      <x:c r="L389" s="99" t="str">
        <x:v>LOSS</x:v>
      </x:c>
    </x:row>
    <x:row r="390">
      <x:c r="A390" s="99" t="str">
        <x:v>2026-08-14 02:00:33</x:v>
      </x:c>
      <x:c r="B390" s="99" t="str">
        <x:v>57982902528</x:v>
      </x:c>
      <x:c r="C390" s="99" t="str">
        <x:v>XAUUSD</x:v>
      </x:c>
      <x:c r="D390" s="99" t="str">
        <x:v>SELL</x:v>
      </x:c>
      <x:c r="E390" s="99" t="str">
        <x:v>CLOSED (LOSS)</x:v>
      </x:c>
      <x:c r="F390" s="129" t="str">
        <x:v>4348.00</x:v>
      </x:c>
      <x:c r="G390" s="129" t="str">
        <x:v>4348.00</x:v>
      </x:c>
      <x:c r="H390" s="129" t="str">
        <x:v>4336.00</x:v>
      </x:c>
      <x:c r="I390" s="129" t="str">
        <x:v>0.00</x:v>
      </x:c>
      <x:c r="J390" s="129" t="str">
        <x:v>5.50</x:v>
      </x:c>
      <x:c r="K390" s="99" t="str">
        <x:v>GOLD Paradise Channel</x:v>
      </x:c>
      <x:c r="L390" s="99" t="str">
        <x:v>LOSS</x:v>
      </x:c>
    </x:row>
    <x:row r="391">
      <x:c r="A391" s="99" t="str">
        <x:v>2026-08-14 05:30:19</x:v>
      </x:c>
      <x:c r="B391" s="99" t="str">
        <x:v>57985082520</x:v>
      </x:c>
      <x:c r="C391" s="99" t="str">
        <x:v>XAUUSD</x:v>
      </x:c>
      <x:c r="D391" s="99" t="str">
        <x:v>BUY</x:v>
      </x:c>
      <x:c r="E391" s="99" t="str">
        <x:v>CLOSED (WIN)</x:v>
      </x:c>
      <x:c r="F391" s="129" t="str">
        <x:v>4358.00</x:v>
      </x:c>
      <x:c r="G391" s="129" t="str">
        <x:v>4342.00</x:v>
      </x:c>
      <x:c r="H391" s="129" t="str">
        <x:v>4358.00</x:v>
      </x:c>
      <x:c r="I391" s="129" t="str">
        <x:v>6.00</x:v>
      </x:c>
      <x:c r="J391" s="129" t="str">
        <x:v>0.00</x:v>
      </x:c>
      <x:c r="K391" s="99" t="str">
        <x:v>GOLD MARKET ACADEMY</x:v>
      </x:c>
      <x:c r="L391" s="99" t="str">
        <x:v>WIN</x:v>
      </x:c>
    </x:row>
    <x:row r="392">
      <x:c r="A392" s="99" t="str">
        <x:v>2026-08-14 05:50:42</x:v>
      </x:c>
      <x:c r="B392" s="99" t="str">
        <x:v>57983961744</x:v>
      </x:c>
      <x:c r="C392" s="99" t="str">
        <x:v>XAUUSD</x:v>
      </x:c>
      <x:c r="D392" s="99" t="str">
        <x:v>SELL</x:v>
      </x:c>
      <x:c r="E392" s="99" t="str">
        <x:v>CLOSED (LOSS)</x:v>
      </x:c>
      <x:c r="F392" s="129" t="str">
        <x:v>4364.00</x:v>
      </x:c>
      <x:c r="G392" s="129" t="str">
        <x:v>4364.00</x:v>
      </x:c>
      <x:c r="H392" s="129" t="str">
        <x:v>4343.00</x:v>
      </x:c>
      <x:c r="I392" s="129" t="str">
        <x:v>0.00</x:v>
      </x:c>
      <x:c r="J392" s="129" t="str">
        <x:v>12.50</x:v>
      </x:c>
      <x:c r="K392" s="99" t="str">
        <x:v>GildedEdge Fx</x:v>
      </x:c>
      <x:c r="L392" s="99" t="str">
        <x:v>LOSS</x:v>
      </x:c>
    </x:row>
    <x:row r="393">
      <x:c r="A393" s="99" t="str">
        <x:v>2026-08-14 07:03:05</x:v>
      </x:c>
      <x:c r="B393" s="99" t="str">
        <x:v>57988646721</x:v>
      </x:c>
      <x:c r="C393" s="99" t="str">
        <x:v>XAUUSD</x:v>
      </x:c>
      <x:c r="D393" s="99" t="str">
        <x:v>BUY</x:v>
      </x:c>
      <x:c r="E393" s="99" t="str">
        <x:v>CLOSED (WIN)</x:v>
      </x:c>
      <x:c r="F393" s="129" t="str">
        <x:v>4374.00</x:v>
      </x:c>
      <x:c r="G393" s="129" t="str">
        <x:v>4362.00</x:v>
      </x:c>
      <x:c r="H393" s="129" t="str">
        <x:v>4374.00</x:v>
      </x:c>
      <x:c r="I393" s="129" t="str">
        <x:v>2.00</x:v>
      </x:c>
      <x:c r="J393" s="129" t="str">
        <x:v>0.00</x:v>
      </x:c>
      <x:c r="K393" s="99" t="str">
        <x:v>JACKY GOLD PRO TRADER</x:v>
      </x:c>
      <x:c r="L393" s="99" t="str">
        <x:v>WIN</x:v>
      </x:c>
    </x:row>
    <x:row r="394">
      <x:c r="A394" s="99" t="str">
        <x:v>2026-08-14 07:51:09</x:v>
      </x:c>
      <x:c r="B394" s="99" t="str">
        <x:v>57989352140</x:v>
      </x:c>
      <x:c r="C394" s="99" t="str">
        <x:v>XAUUSD</x:v>
      </x:c>
      <x:c r="D394" s="99" t="str">
        <x:v>SELL</x:v>
      </x:c>
      <x:c r="E394" s="99" t="str">
        <x:v>CLOSED (WIN)</x:v>
      </x:c>
      <x:c r="F394" s="129" t="str">
        <x:v>4386.00</x:v>
      </x:c>
      <x:c r="G394" s="129" t="str">
        <x:v>4399.00</x:v>
      </x:c>
      <x:c r="H394" s="129" t="str">
        <x:v>4386.00</x:v>
      </x:c>
      <x:c r="I394" s="129" t="str">
        <x:v>3.00</x:v>
      </x:c>
      <x:c r="J394" s="129" t="str">
        <x:v>0.00</x:v>
      </x:c>
      <x:c r="K394" s="99" t="str">
        <x:v>Super Forex _0TM</x:v>
      </x:c>
      <x:c r="L394" s="99" t="str">
        <x:v>WIN</x:v>
      </x:c>
    </x:row>
    <x:row r="395">
      <x:c r="A395" s="100" t="str">
        <x:v>2026-08-14 09:02:31</x:v>
      </x:c>
      <x:c r="B395" s="100" t="str">
        <x:v>57990088932</x:v>
      </x:c>
      <x:c r="C395" s="100" t="str">
        <x:v>XAUUSD</x:v>
      </x:c>
      <x:c r="D395" s="100" t="str">
        <x:v>BUY</x:v>
      </x:c>
      <x:c r="E395" s="100" t="str">
        <x:v>CLOSED (WIN)</x:v>
      </x:c>
      <x:c r="F395" s="130" t="str">
        <x:v>4387.00</x:v>
      </x:c>
      <x:c r="G395" s="130" t="str">
        <x:v>4377.00</x:v>
      </x:c>
      <x:c r="H395" s="130" t="str">
        <x:v>4387.00</x:v>
      </x:c>
      <x:c r="I395" s="130" t="str">
        <x:v>6.00</x:v>
      </x:c>
      <x:c r="J395" s="130" t="str">
        <x:v>0.00</x:v>
      </x:c>
      <x:c r="K395" s="100" t="str">
        <x:v>Skool of Traders</x:v>
      </x:c>
      <x:c r="L395" s="100" t="str">
        <x:v>WIN</x:v>
      </x:c>
    </x:row>
  </x:sheetData>
  <x:pageMargins left="0.7" right="0.7" top="0.75" bottom="0.75" header="0.3" footer="0.3"/>
  <x:tableParts count="1">
    <x:tablePart xmlns:r="http://schemas.openxmlformats.org/officeDocument/2006/relationships" r:id="Re597e4795d994c7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5" hidden="0" customWidth="1"/>
    <x:col min="7" max="7" width="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0" customHeight="1">
      <x:c r="A1" s="8" t="str">
        <x:v>Channel Performance Dashboard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</x:row>
    <x:row r="2" ht="28" customHeight="1">
      <x:c r="A2" s="18" t="str">
        <x:v>Ranked by win rate. Use trade count alongside win rate when comparing channel reliability. '-' source labels are shown as Mobile.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 ht="24" customHeight="1">
      <x:c r="A4" s="26" t="str">
        <x:v>Top Win-Rate Channel</x:v>
      </x:c>
      <x:c r="B4" s="26"/>
      <x:c r="C4" s="26"/>
      <x:c r="D4" s="26" t="str">
        <x:v>Overall Win Rate</x:v>
      </x:c>
      <x:c r="E4" s="26"/>
      <x:c r="F4" s="26"/>
      <x:c r="G4" s="26" t="str">
        <x:v>Total Trades</x:v>
      </x:c>
      <x:c r="H4" s="26"/>
      <x:c r="I4" s="26"/>
      <x:c r="J4" s="26" t="str">
        <x:v>Most Active Channel</x:v>
      </x:c>
      <x:c r="K4" s="26"/>
      <x:c r="L4" s="26"/>
    </x:row>
    <x:row r="5" ht="24" customHeight="1">
      <x:c r="A5" s="56" t="str">
        <x:f>A10</x:f>
        <x:v>JACKY GOLD PRO TRADER</x:v>
      </x:c>
      <x:c r="B5" s="57"/>
      <x:c r="C5" s="57"/>
      <x:c r="D5" s="68" t="n">
        <x:f>COUNTIF('Raw Data'!$L$2:$L$395,"WIN")/COUNTA('Raw Data'!$B$2:$B$395)</x:f>
        <x:v>0.6598984771573604</x:v>
      </x:c>
      <x:c r="E5" s="68"/>
      <x:c r="F5" s="68"/>
      <x:c r="G5" s="72" t="n">
        <x:f>COUNTA('Raw Data'!$B$2:$B395)</x:f>
        <x:v>394</x:v>
      </x:c>
      <x:c r="H5" s="72"/>
      <x:c r="I5" s="72"/>
      <x:c r="J5" s="57" t="str">
        <x:f>INDEX($A$10:$A$43,MATCH(MAX($B$10:$B$43),$B$10:$B$43,0))</x:f>
        <x:v>Mobile</x:v>
      </x:c>
      <x:c r="K5" s="57"/>
      <x:c r="L5" s="58"/>
    </x:row>
    <x:row r="6" ht="24" customHeight="1">
      <x:c r="A6" s="59"/>
      <x:c r="B6" s="60"/>
      <x:c r="C6" s="60"/>
      <x:c r="D6" s="69"/>
      <x:c r="E6" s="69"/>
      <x:c r="F6" s="69"/>
      <x:c r="G6" s="73"/>
      <x:c r="H6" s="73"/>
      <x:c r="I6" s="73"/>
      <x:c r="J6" s="60"/>
      <x:c r="K6" s="60"/>
      <x:c r="L6" s="61"/>
    </x:row>
    <x:row r="8">
      <x:c r="A8" s="80" t="str">
        <x:v>Channel Ranking</x:v>
      </x:c>
      <x:c r="B8" s="80"/>
      <x:c r="C8" s="80"/>
      <x:c r="D8" s="80"/>
      <x:c r="E8" s="80"/>
      <x:c r="F8" s="80"/>
    </x:row>
    <x:row r="9">
      <x:c r="A9" s="92" t="str">
        <x:v>Channel</x:v>
      </x:c>
      <x:c r="B9" s="93" t="str">
        <x:v>Trades</x:v>
      </x:c>
      <x:c r="C9" s="93" t="str">
        <x:v>Wins</x:v>
      </x:c>
      <x:c r="D9" s="93" t="str">
        <x:v>Losses</x:v>
      </x:c>
      <x:c r="E9" s="93" t="str">
        <x:v>Win Rate</x:v>
      </x:c>
      <x:c r="F9" s="94" t="str">
        <x:v>Net P&amp;L</x:v>
      </x:c>
    </x:row>
    <x:row r="10">
      <x:c r="A10" s="98" t="str">
        <x:v>JACKY GOLD PRO TRADER</x:v>
      </x:c>
      <x:c r="B10" s="104" t="n">
        <x:f>COUNTIF('Raw Data'!$K$2:$K$395,A10)</x:f>
        <x:v>4</x:v>
      </x:c>
      <x:c r="C10" s="104" t="n">
        <x:f>COUNTIFS('Raw Data'!$K$2:$K$395,A10,'Raw Data'!$L$2:$L$395,"WIN")</x:f>
        <x:v>4</x:v>
      </x:c>
      <x:c r="D10" s="104" t="n">
        <x:f>COUNTIFS('Raw Data'!$K$2:$K$395,A10,'Raw Data'!$L$2:$L$395,"LOSS")</x:f>
        <x:v>0</x:v>
      </x:c>
      <x:c r="E10" s="110" t="n">
        <x:f>IF(B10=0,0,C10/B10)</x:f>
        <x:v>1</x:v>
      </x:c>
      <x:c r="F10" s="116" t="n">
        <x:f>SUMIF('Raw Data'!$K$2:$K$395,A10,'Raw Data'!$I$2:$I$395)-SUMIF('Raw Data'!$K$2:$K$395,A10,'Raw Data'!$J$2:$J$395)</x:f>
        <x:v>8</x:v>
      </x:c>
    </x:row>
    <x:row r="11">
      <x:c r="A11" s="99" t="str">
        <x:v>Scalpingfxno1</x:v>
      </x:c>
      <x:c r="B11" s="105" t="n">
        <x:f>COUNTIF('Raw Data'!$K$2:$K$395,A11)</x:f>
        <x:v>4</x:v>
      </x:c>
      <x:c r="C11" s="105" t="n">
        <x:f>COUNTIFS('Raw Data'!$K$2:$K$395,A11,'Raw Data'!$L$2:$L$395,"WIN")</x:f>
        <x:v>4</x:v>
      </x:c>
      <x:c r="D11" s="105" t="n">
        <x:f>COUNTIFS('Raw Data'!$K$2:$K$395,A11,'Raw Data'!$L$2:$L$395,"LOSS")</x:f>
        <x:v>0</x:v>
      </x:c>
      <x:c r="E11" s="111" t="n">
        <x:f>IF(B11=0,0,C11/B11)</x:f>
        <x:v>1</x:v>
      </x:c>
      <x:c r="F11" s="117" t="n">
        <x:f>SUMIF('Raw Data'!$K$2:$K$395,A11,'Raw Data'!$I$2:$I$395)-SUMIF('Raw Data'!$K$2:$K$395,A11,'Raw Data'!$J$2:$J$395)</x:f>
        <x:v>38.8</x:v>
      </x:c>
    </x:row>
    <x:row r="12">
      <x:c r="A12" s="99" t="str">
        <x:v>|| XAUUSD Usa Sniper ||</x:v>
      </x:c>
      <x:c r="B12" s="105" t="n">
        <x:f>COUNTIF('Raw Data'!$K$2:$K$395,A12)</x:f>
        <x:v>1</x:v>
      </x:c>
      <x:c r="C12" s="105" t="n">
        <x:f>COUNTIFS('Raw Data'!$K$2:$K$395,A12,'Raw Data'!$L$2:$L$395,"WIN")</x:f>
        <x:v>1</x:v>
      </x:c>
      <x:c r="D12" s="105" t="n">
        <x:f>COUNTIFS('Raw Data'!$K$2:$K$395,A12,'Raw Data'!$L$2:$L$395,"LOSS")</x:f>
        <x:v>0</x:v>
      </x:c>
      <x:c r="E12" s="111" t="n">
        <x:f>IF(B12=0,0,C12/B12)</x:f>
        <x:v>1</x:v>
      </x:c>
      <x:c r="F12" s="117" t="n">
        <x:f>SUMIF('Raw Data'!$K$2:$K$395,A12,'Raw Data'!$I$2:$I$395)-SUMIF('Raw Data'!$K$2:$K$395,A12,'Raw Data'!$J$2:$J$395)</x:f>
        <x:v>6</x:v>
      </x:c>
    </x:row>
    <x:row r="13">
      <x:c r="A13" s="99" t="str">
        <x:v>Michael Bennett</x:v>
      </x:c>
      <x:c r="B13" s="105" t="n">
        <x:f>COUNTIF('Raw Data'!$K$2:$K$395,A13)</x:f>
        <x:v>1</x:v>
      </x:c>
      <x:c r="C13" s="105" t="n">
        <x:f>COUNTIFS('Raw Data'!$K$2:$K$395,A13,'Raw Data'!$L$2:$L$395,"WIN")</x:f>
        <x:v>1</x:v>
      </x:c>
      <x:c r="D13" s="105" t="n">
        <x:f>COUNTIFS('Raw Data'!$K$2:$K$395,A13,'Raw Data'!$L$2:$L$395,"LOSS")</x:f>
        <x:v>0</x:v>
      </x:c>
      <x:c r="E13" s="111" t="n">
        <x:f>IF(B13=0,0,C13/B13)</x:f>
        <x:v>1</x:v>
      </x:c>
      <x:c r="F13" s="117" t="n">
        <x:f>SUMIF('Raw Data'!$K$2:$K$395,A13,'Raw Data'!$I$2:$I$395)-SUMIF('Raw Data'!$K$2:$K$395,A13,'Raw Data'!$J$2:$J$395)</x:f>
        <x:v>5</x:v>
      </x:c>
    </x:row>
    <x:row r="14">
      <x:c r="A14" s="99" t="str">
        <x:v>BLUE PIPSTM</x:v>
      </x:c>
      <x:c r="B14" s="105" t="n">
        <x:f>COUNTIF('Raw Data'!$K$2:$K$395,A14)</x:f>
        <x:v>9</x:v>
      </x:c>
      <x:c r="C14" s="105" t="n">
        <x:f>COUNTIFS('Raw Data'!$K$2:$K$395,A14,'Raw Data'!$L$2:$L$395,"WIN")</x:f>
        <x:v>8</x:v>
      </x:c>
      <x:c r="D14" s="105" t="n">
        <x:f>COUNTIFS('Raw Data'!$K$2:$K$395,A14,'Raw Data'!$L$2:$L$395,"LOSS")</x:f>
        <x:v>1</x:v>
      </x:c>
      <x:c r="E14" s="111" t="n">
        <x:f>IF(B14=0,0,C14/B14)</x:f>
        <x:v>0.8888888888888888</x:v>
      </x:c>
      <x:c r="F14" s="117" t="n">
        <x:f>SUMIF('Raw Data'!$K$2:$K$395,A14,'Raw Data'!$I$2:$I$395)-SUMIF('Raw Data'!$K$2:$K$395,A14,'Raw Data'!$J$2:$J$395)</x:f>
        <x:v>27.950000000000003</x:v>
      </x:c>
    </x:row>
    <x:row r="15">
      <x:c r="A15" s="99" t="str">
        <x:v>FX_Gold Tradi</x:v>
      </x:c>
      <x:c r="B15" s="105" t="n">
        <x:f>COUNTIF('Raw Data'!$K$2:$K$395,A15)</x:f>
        <x:v>8</x:v>
      </x:c>
      <x:c r="C15" s="105" t="n">
        <x:f>COUNTIFS('Raw Data'!$K$2:$K$395,A15,'Raw Data'!$L$2:$L$395,"WIN")</x:f>
        <x:v>7</x:v>
      </x:c>
      <x:c r="D15" s="105" t="n">
        <x:f>COUNTIFS('Raw Data'!$K$2:$K$395,A15,'Raw Data'!$L$2:$L$395,"LOSS")</x:f>
        <x:v>1</x:v>
      </x:c>
      <x:c r="E15" s="111" t="n">
        <x:f>IF(B15=0,0,C15/B15)</x:f>
        <x:v>0.875</x:v>
      </x:c>
      <x:c r="F15" s="117" t="n">
        <x:f>SUMIF('Raw Data'!$K$2:$K$395,A15,'Raw Data'!$I$2:$I$395)-SUMIF('Raw Data'!$K$2:$K$395,A15,'Raw Data'!$J$2:$J$395)</x:f>
        <x:v>22.29</x:v>
      </x:c>
    </x:row>
    <x:row r="16">
      <x:c r="A16" s="99" t="str">
        <x:v>JACKY GOLD PR</x:v>
      </x:c>
      <x:c r="B16" s="105" t="n">
        <x:f>COUNTIF('Raw Data'!$K$2:$K$395,A16)</x:f>
        <x:v>18</x:v>
      </x:c>
      <x:c r="C16" s="105" t="n">
        <x:f>COUNTIFS('Raw Data'!$K$2:$K$395,A16,'Raw Data'!$L$2:$L$395,"WIN")</x:f>
        <x:v>15</x:v>
      </x:c>
      <x:c r="D16" s="105" t="n">
        <x:f>COUNTIFS('Raw Data'!$K$2:$K$395,A16,'Raw Data'!$L$2:$L$395,"LOSS")</x:f>
        <x:v>3</x:v>
      </x:c>
      <x:c r="E16" s="111" t="n">
        <x:f>IF(B16=0,0,C16/B16)</x:f>
        <x:v>0.8333333333333334</x:v>
      </x:c>
      <x:c r="F16" s="117" t="n">
        <x:f>SUMIF('Raw Data'!$K$2:$K$395,A16,'Raw Data'!$I$2:$I$395)-SUMIF('Raw Data'!$K$2:$K$395,A16,'Raw Data'!$J$2:$J$395)</x:f>
        <x:v>9.289999999999992</x:v>
      </x:c>
    </x:row>
    <x:row r="17">
      <x:c r="A17" s="99" t="str">
        <x:v>Super Forex _0TM</x:v>
      </x:c>
      <x:c r="B17" s="105" t="n">
        <x:f>COUNTIF('Raw Data'!$K$2:$K$395,A17)</x:f>
        <x:v>12</x:v>
      </x:c>
      <x:c r="C17" s="105" t="n">
        <x:f>COUNTIFS('Raw Data'!$K$2:$K$395,A17,'Raw Data'!$L$2:$L$395,"WIN")</x:f>
        <x:v>10</x:v>
      </x:c>
      <x:c r="D17" s="105" t="n">
        <x:f>COUNTIFS('Raw Data'!$K$2:$K$395,A17,'Raw Data'!$L$2:$L$395,"LOSS")</x:f>
        <x:v>2</x:v>
      </x:c>
      <x:c r="E17" s="111" t="n">
        <x:f>IF(B17=0,0,C17/B17)</x:f>
        <x:v>0.8333333333333334</x:v>
      </x:c>
      <x:c r="F17" s="117" t="n">
        <x:f>SUMIF('Raw Data'!$K$2:$K$395,A17,'Raw Data'!$I$2:$I$395)-SUMIF('Raw Data'!$K$2:$K$395,A17,'Raw Data'!$J$2:$J$395)</x:f>
        <x:v>2.8800000000000026</x:v>
      </x:c>
    </x:row>
    <x:row r="18">
      <x:c r="A18" s="99" t="str">
        <x:v>Forex treding</x:v>
      </x:c>
      <x:c r="B18" s="105" t="n">
        <x:f>COUNTIF('Raw Data'!$K$2:$K$395,A18)</x:f>
        <x:v>6</x:v>
      </x:c>
      <x:c r="C18" s="105" t="n">
        <x:f>COUNTIFS('Raw Data'!$K$2:$K$395,A18,'Raw Data'!$L$2:$L$395,"WIN")</x:f>
        <x:v>5</x:v>
      </x:c>
      <x:c r="D18" s="105" t="n">
        <x:f>COUNTIFS('Raw Data'!$K$2:$K$395,A18,'Raw Data'!$L$2:$L$395,"LOSS")</x:f>
        <x:v>1</x:v>
      </x:c>
      <x:c r="E18" s="111" t="n">
        <x:f>IF(B18=0,0,C18/B18)</x:f>
        <x:v>0.8333333333333334</x:v>
      </x:c>
      <x:c r="F18" s="117" t="n">
        <x:f>SUMIF('Raw Data'!$K$2:$K$395,A18,'Raw Data'!$I$2:$I$395)-SUMIF('Raw Data'!$K$2:$K$395,A18,'Raw Data'!$J$2:$J$395)</x:f>
        <x:v>-1.7100000000000009</x:v>
      </x:c>
    </x:row>
    <x:row r="19">
      <x:c r="A19" s="99" t="str">
        <x:v>GOLD SCALPER</x:v>
      </x:c>
      <x:c r="B19" s="105" t="n">
        <x:f>COUNTIF('Raw Data'!$K$2:$K$395,A19)</x:f>
        <x:v>10</x:v>
      </x:c>
      <x:c r="C19" s="105" t="n">
        <x:f>COUNTIFS('Raw Data'!$K$2:$K$395,A19,'Raw Data'!$L$2:$L$395,"WIN")</x:f>
        <x:v>8</x:v>
      </x:c>
      <x:c r="D19" s="105" t="n">
        <x:f>COUNTIFS('Raw Data'!$K$2:$K$395,A19,'Raw Data'!$L$2:$L$395,"LOSS")</x:f>
        <x:v>2</x:v>
      </x:c>
      <x:c r="E19" s="111" t="n">
        <x:f>IF(B19=0,0,C19/B19)</x:f>
        <x:v>0.8</x:v>
      </x:c>
      <x:c r="F19" s="117" t="n">
        <x:f>SUMIF('Raw Data'!$K$2:$K$395,A19,'Raw Data'!$I$2:$I$395)-SUMIF('Raw Data'!$K$2:$K$395,A19,'Raw Data'!$J$2:$J$395)</x:f>
        <x:v>30.160000000000004</x:v>
      </x:c>
    </x:row>
    <x:row r="20">
      <x:c r="A20" s="99" t="str">
        <x:v>Scalper Gold Nexus</x:v>
      </x:c>
      <x:c r="B20" s="105" t="n">
        <x:f>COUNTIF('Raw Data'!$K$2:$K$395,A20)</x:f>
        <x:v>5</x:v>
      </x:c>
      <x:c r="C20" s="105" t="n">
        <x:f>COUNTIFS('Raw Data'!$K$2:$K$395,A20,'Raw Data'!$L$2:$L$395,"WIN")</x:f>
        <x:v>4</x:v>
      </x:c>
      <x:c r="D20" s="105" t="n">
        <x:f>COUNTIFS('Raw Data'!$K$2:$K$395,A20,'Raw Data'!$L$2:$L$395,"LOSS")</x:f>
        <x:v>1</x:v>
      </x:c>
      <x:c r="E20" s="111" t="n">
        <x:f>IF(B20=0,0,C20/B20)</x:f>
        <x:v>0.8</x:v>
      </x:c>
      <x:c r="F20" s="117" t="n">
        <x:f>SUMIF('Raw Data'!$K$2:$K$395,A20,'Raw Data'!$I$2:$I$395)-SUMIF('Raw Data'!$K$2:$K$395,A20,'Raw Data'!$J$2:$J$395)</x:f>
        <x:v>15.5</x:v>
      </x:c>
    </x:row>
    <x:row r="21">
      <x:c r="A21" s="99" t="str">
        <x:v>BEST XAU/USD</x:v>
      </x:c>
      <x:c r="B21" s="105" t="n">
        <x:f>COUNTIF('Raw Data'!$K$2:$K$395,A21)</x:f>
        <x:v>16</x:v>
      </x:c>
      <x:c r="C21" s="105" t="n">
        <x:f>COUNTIFS('Raw Data'!$K$2:$K$395,A21,'Raw Data'!$L$2:$L$395,"WIN")</x:f>
        <x:v>12</x:v>
      </x:c>
      <x:c r="D21" s="105" t="n">
        <x:f>COUNTIFS('Raw Data'!$K$2:$K$395,A21,'Raw Data'!$L$2:$L$395,"LOSS")</x:f>
        <x:v>4</x:v>
      </x:c>
      <x:c r="E21" s="111" t="n">
        <x:f>IF(B21=0,0,C21/B21)</x:f>
        <x:v>0.75</x:v>
      </x:c>
      <x:c r="F21" s="117" t="n">
        <x:f>SUMIF('Raw Data'!$K$2:$K$395,A21,'Raw Data'!$I$2:$I$395)-SUMIF('Raw Data'!$K$2:$K$395,A21,'Raw Data'!$J$2:$J$395)</x:f>
        <x:v>-4.830000000000005</x:v>
      </x:c>
    </x:row>
    <x:row r="22">
      <x:c r="A22" s="99" t="str">
        <x:v>Skool of Traders</x:v>
      </x:c>
      <x:c r="B22" s="105" t="n">
        <x:f>COUNTIF('Raw Data'!$K$2:$K$395,A22)</x:f>
        <x:v>8</x:v>
      </x:c>
      <x:c r="C22" s="105" t="n">
        <x:f>COUNTIFS('Raw Data'!$K$2:$K$395,A22,'Raw Data'!$L$2:$L$395,"WIN")</x:f>
        <x:v>6</x:v>
      </x:c>
      <x:c r="D22" s="105" t="n">
        <x:f>COUNTIFS('Raw Data'!$K$2:$K$395,A22,'Raw Data'!$L$2:$L$395,"LOSS")</x:f>
        <x:v>2</x:v>
      </x:c>
      <x:c r="E22" s="111" t="n">
        <x:f>IF(B22=0,0,C22/B22)</x:f>
        <x:v>0.75</x:v>
      </x:c>
      <x:c r="F22" s="117" t="n">
        <x:f>SUMIF('Raw Data'!$K$2:$K$395,A22,'Raw Data'!$I$2:$I$395)-SUMIF('Raw Data'!$K$2:$K$395,A22,'Raw Data'!$J$2:$J$395)</x:f>
        <x:v>6.710000000000001</x:v>
      </x:c>
    </x:row>
    <x:row r="23">
      <x:c r="A23" s="99" t="str">
        <x:v>FOREX CREDIBLE TRADER</x:v>
      </x:c>
      <x:c r="B23" s="105" t="n">
        <x:f>COUNTIF('Raw Data'!$K$2:$K$395,A23)</x:f>
        <x:v>4</x:v>
      </x:c>
      <x:c r="C23" s="105" t="n">
        <x:f>COUNTIFS('Raw Data'!$K$2:$K$395,A23,'Raw Data'!$L$2:$L$395,"WIN")</x:f>
        <x:v>3</x:v>
      </x:c>
      <x:c r="D23" s="105" t="n">
        <x:f>COUNTIFS('Raw Data'!$K$2:$K$395,A23,'Raw Data'!$L$2:$L$395,"LOSS")</x:f>
        <x:v>1</x:v>
      </x:c>
      <x:c r="E23" s="111" t="n">
        <x:f>IF(B23=0,0,C23/B23)</x:f>
        <x:v>0.75</x:v>
      </x:c>
      <x:c r="F23" s="117" t="n">
        <x:f>SUMIF('Raw Data'!$K$2:$K$395,A23,'Raw Data'!$I$2:$I$395)-SUMIF('Raw Data'!$K$2:$K$395,A23,'Raw Data'!$J$2:$J$395)</x:f>
        <x:v>11</x:v>
      </x:c>
    </x:row>
    <x:row r="24">
      <x:c r="A24" s="99" t="str">
        <x:v>GOLD PIPS SHA</x:v>
      </x:c>
      <x:c r="B24" s="105" t="n">
        <x:f>COUNTIF('Raw Data'!$K$2:$K$395,A24)</x:f>
        <x:v>4</x:v>
      </x:c>
      <x:c r="C24" s="105" t="n">
        <x:f>COUNTIFS('Raw Data'!$K$2:$K$395,A24,'Raw Data'!$L$2:$L$395,"WIN")</x:f>
        <x:v>3</x:v>
      </x:c>
      <x:c r="D24" s="105" t="n">
        <x:f>COUNTIFS('Raw Data'!$K$2:$K$395,A24,'Raw Data'!$L$2:$L$395,"LOSS")</x:f>
        <x:v>1</x:v>
      </x:c>
      <x:c r="E24" s="111" t="n">
        <x:f>IF(B24=0,0,C24/B24)</x:f>
        <x:v>0.75</x:v>
      </x:c>
      <x:c r="F24" s="117" t="n">
        <x:f>SUMIF('Raw Data'!$K$2:$K$395,A24,'Raw Data'!$I$2:$I$395)-SUMIF('Raw Data'!$K$2:$K$395,A24,'Raw Data'!$J$2:$J$395)</x:f>
        <x:v>17.22</x:v>
      </x:c>
    </x:row>
    <x:row r="25">
      <x:c r="A25" s="99" t="str">
        <x:v>Michael Fx Trader</x:v>
      </x:c>
      <x:c r="B25" s="105" t="n">
        <x:f>COUNTIF('Raw Data'!$K$2:$K$395,A25)</x:f>
        <x:v>4</x:v>
      </x:c>
      <x:c r="C25" s="105" t="n">
        <x:f>COUNTIFS('Raw Data'!$K$2:$K$395,A25,'Raw Data'!$L$2:$L$395,"WIN")</x:f>
        <x:v>3</x:v>
      </x:c>
      <x:c r="D25" s="105" t="n">
        <x:f>COUNTIFS('Raw Data'!$K$2:$K$395,A25,'Raw Data'!$L$2:$L$395,"LOSS")</x:f>
        <x:v>1</x:v>
      </x:c>
      <x:c r="E25" s="111" t="n">
        <x:f>IF(B25=0,0,C25/B25)</x:f>
        <x:v>0.75</x:v>
      </x:c>
      <x:c r="F25" s="117" t="n">
        <x:f>SUMIF('Raw Data'!$K$2:$K$395,A25,'Raw Data'!$I$2:$I$395)-SUMIF('Raw Data'!$K$2:$K$395,A25,'Raw Data'!$J$2:$J$395)</x:f>
        <x:v>-4.67</x:v>
      </x:c>
    </x:row>
    <x:row r="26">
      <x:c r="A26" s="99" t="str">
        <x:v>FOREX EXPERT</x:v>
      </x:c>
      <x:c r="B26" s="105" t="n">
        <x:f>COUNTIF('Raw Data'!$K$2:$K$395,A26)</x:f>
        <x:v>7</x:v>
      </x:c>
      <x:c r="C26" s="105" t="n">
        <x:f>COUNTIFS('Raw Data'!$K$2:$K$395,A26,'Raw Data'!$L$2:$L$395,"WIN")</x:f>
        <x:v>5</x:v>
      </x:c>
      <x:c r="D26" s="105" t="n">
        <x:f>COUNTIFS('Raw Data'!$K$2:$K$395,A26,'Raw Data'!$L$2:$L$395,"LOSS")</x:f>
        <x:v>2</x:v>
      </x:c>
      <x:c r="E26" s="111" t="n">
        <x:f>IF(B26=0,0,C26/B26)</x:f>
        <x:v>0.7142857142857143</x:v>
      </x:c>
      <x:c r="F26" s="117" t="n">
        <x:f>SUMIF('Raw Data'!$K$2:$K$395,A26,'Raw Data'!$I$2:$I$395)-SUMIF('Raw Data'!$K$2:$K$395,A26,'Raw Data'!$J$2:$J$395)</x:f>
        <x:v>5.080000000000005</x:v>
      </x:c>
    </x:row>
    <x:row r="27">
      <x:c r="A27" s="99" t="str">
        <x:v>|| XAUUSD Usa</x:v>
      </x:c>
      <x:c r="B27" s="105" t="n">
        <x:f>COUNTIF('Raw Data'!$K$2:$K$395,A27)</x:f>
        <x:v>3</x:v>
      </x:c>
      <x:c r="C27" s="105" t="n">
        <x:f>COUNTIFS('Raw Data'!$K$2:$K$395,A27,'Raw Data'!$L$2:$L$395,"WIN")</x:f>
        <x:v>2</x:v>
      </x:c>
      <x:c r="D27" s="105" t="n">
        <x:f>COUNTIFS('Raw Data'!$K$2:$K$395,A27,'Raw Data'!$L$2:$L$395,"LOSS")</x:f>
        <x:v>1</x:v>
      </x:c>
      <x:c r="E27" s="111" t="n">
        <x:f>IF(B27=0,0,C27/B27)</x:f>
        <x:v>0.6666666666666666</x:v>
      </x:c>
      <x:c r="F27" s="117" t="n">
        <x:f>SUMIF('Raw Data'!$K$2:$K$395,A27,'Raw Data'!$I$2:$I$395)-SUMIF('Raw Data'!$K$2:$K$395,A27,'Raw Data'!$J$2:$J$395)</x:f>
        <x:v>1.1900000000000013</x:v>
      </x:c>
    </x:row>
    <x:row r="28">
      <x:c r="A28" s="99" t="str">
        <x:v>SKY PiPSTM</x:v>
      </x:c>
      <x:c r="B28" s="105" t="n">
        <x:f>COUNTIF('Raw Data'!$K$2:$K$395,A28)</x:f>
        <x:v>3</x:v>
      </x:c>
      <x:c r="C28" s="105" t="n">
        <x:f>COUNTIFS('Raw Data'!$K$2:$K$395,A28,'Raw Data'!$L$2:$L$395,"WIN")</x:f>
        <x:v>2</x:v>
      </x:c>
      <x:c r="D28" s="105" t="n">
        <x:f>COUNTIFS('Raw Data'!$K$2:$K$395,A28,'Raw Data'!$L$2:$L$395,"LOSS")</x:f>
        <x:v>1</x:v>
      </x:c>
      <x:c r="E28" s="111" t="n">
        <x:f>IF(B28=0,0,C28/B28)</x:f>
        <x:v>0.6666666666666666</x:v>
      </x:c>
      <x:c r="F28" s="117" t="n">
        <x:f>SUMIF('Raw Data'!$K$2:$K$395,A28,'Raw Data'!$I$2:$I$395)-SUMIF('Raw Data'!$K$2:$K$395,A28,'Raw Data'!$J$2:$J$395)</x:f>
        <x:v>-4.449999999999999</x:v>
      </x:c>
    </x:row>
    <x:row r="29">
      <x:c r="A29" s="99" t="str">
        <x:v>XAUUSD/TRADIN</x:v>
      </x:c>
      <x:c r="B29" s="105" t="n">
        <x:f>COUNTIF('Raw Data'!$K$2:$K$395,A29)</x:f>
        <x:v>3</x:v>
      </x:c>
      <x:c r="C29" s="105" t="n">
        <x:f>COUNTIFS('Raw Data'!$K$2:$K$395,A29,'Raw Data'!$L$2:$L$395,"WIN")</x:f>
        <x:v>2</x:v>
      </x:c>
      <x:c r="D29" s="105" t="n">
        <x:f>COUNTIFS('Raw Data'!$K$2:$K$395,A29,'Raw Data'!$L$2:$L$395,"LOSS")</x:f>
        <x:v>1</x:v>
      </x:c>
      <x:c r="E29" s="111" t="n">
        <x:f>IF(B29=0,0,C29/B29)</x:f>
        <x:v>0.6666666666666666</x:v>
      </x:c>
      <x:c r="F29" s="117" t="n">
        <x:f>SUMIF('Raw Data'!$K$2:$K$395,A29,'Raw Data'!$I$2:$I$395)-SUMIF('Raw Data'!$K$2:$K$395,A29,'Raw Data'!$J$2:$J$395)</x:f>
        <x:v>-5.979999999999999</x:v>
      </x:c>
    </x:row>
    <x:row r="30">
      <x:c r="A30" s="99" t="str">
        <x:v>Mobile</x:v>
      </x:c>
      <x:c r="B30" s="105" t="n">
        <x:f>COUNTIF('Raw Data'!$K$2:$K$395,A30)</x:f>
        <x:v>197</x:v>
      </x:c>
      <x:c r="C30" s="105" t="n">
        <x:f>COUNTIFS('Raw Data'!$K$2:$K$395,A30,'Raw Data'!$L$2:$L$395,"WIN")</x:f>
        <x:v>125</x:v>
      </x:c>
      <x:c r="D30" s="105" t="n">
        <x:f>COUNTIFS('Raw Data'!$K$2:$K$395,A30,'Raw Data'!$L$2:$L$395,"LOSS")</x:f>
        <x:v>72</x:v>
      </x:c>
      <x:c r="E30" s="111" t="n">
        <x:f>IF(B30=0,0,C30/B30)</x:f>
        <x:v>0.6345177664974619</x:v>
      </x:c>
      <x:c r="F30" s="117" t="n">
        <x:f>SUMIF('Raw Data'!$K$2:$K$395,A30,'Raw Data'!$I$2:$I$395)-SUMIF('Raw Data'!$K$2:$K$395,A30,'Raw Data'!$J$2:$J$395)</x:f>
        <x:v>-275.5399999999996</x:v>
      </x:c>
    </x:row>
    <x:row r="31">
      <x:c r="A31" s="99" t="str">
        <x:v>GOLD SCALPING</x:v>
      </x:c>
      <x:c r="B31" s="105" t="n">
        <x:f>COUNTIF('Raw Data'!$K$2:$K$395,A31)</x:f>
        <x:v>5</x:v>
      </x:c>
      <x:c r="C31" s="105" t="n">
        <x:f>COUNTIFS('Raw Data'!$K$2:$K$395,A31,'Raw Data'!$L$2:$L$395,"WIN")</x:f>
        <x:v>3</x:v>
      </x:c>
      <x:c r="D31" s="105" t="n">
        <x:f>COUNTIFS('Raw Data'!$K$2:$K$395,A31,'Raw Data'!$L$2:$L$395,"LOSS")</x:f>
        <x:v>2</x:v>
      </x:c>
      <x:c r="E31" s="111" t="n">
        <x:f>IF(B31=0,0,C31/B31)</x:f>
        <x:v>0.6</x:v>
      </x:c>
      <x:c r="F31" s="117" t="n">
        <x:f>SUMIF('Raw Data'!$K$2:$K$395,A31,'Raw Data'!$I$2:$I$395)-SUMIF('Raw Data'!$K$2:$K$395,A31,'Raw Data'!$J$2:$J$395)</x:f>
        <x:v>-16.79</x:v>
      </x:c>
    </x:row>
    <x:row r="32">
      <x:c r="A32" s="99" t="str">
        <x:v>Gold Trader Avi</x:v>
      </x:c>
      <x:c r="B32" s="105" t="n">
        <x:f>COUNTIF('Raw Data'!$K$2:$K$395,A32)</x:f>
        <x:v>5</x:v>
      </x:c>
      <x:c r="C32" s="105" t="n">
        <x:f>COUNTIFS('Raw Data'!$K$2:$K$395,A32,'Raw Data'!$L$2:$L$395,"WIN")</x:f>
        <x:v>3</x:v>
      </x:c>
      <x:c r="D32" s="105" t="n">
        <x:f>COUNTIFS('Raw Data'!$K$2:$K$395,A32,'Raw Data'!$L$2:$L$395,"LOSS")</x:f>
        <x:v>2</x:v>
      </x:c>
      <x:c r="E32" s="111" t="n">
        <x:f>IF(B32=0,0,C32/B32)</x:f>
        <x:v>0.6</x:v>
      </x:c>
      <x:c r="F32" s="117" t="n">
        <x:f>SUMIF('Raw Data'!$K$2:$K$395,A32,'Raw Data'!$I$2:$I$395)-SUMIF('Raw Data'!$K$2:$K$395,A32,'Raw Data'!$J$2:$J$395)</x:f>
        <x:v>-4.5</x:v>
      </x:c>
    </x:row>
    <x:row r="33">
      <x:c r="A33" s="99" t="str">
        <x:v>GildedEdge Fx</x:v>
      </x:c>
      <x:c r="B33" s="105" t="n">
        <x:f>COUNTIF('Raw Data'!$K$2:$K$395,A33)</x:f>
        <x:v>9</x:v>
      </x:c>
      <x:c r="C33" s="105" t="n">
        <x:f>COUNTIFS('Raw Data'!$K$2:$K$395,A33,'Raw Data'!$L$2:$L$395,"WIN")</x:f>
        <x:v>5</x:v>
      </x:c>
      <x:c r="D33" s="105" t="n">
        <x:f>COUNTIFS('Raw Data'!$K$2:$K$395,A33,'Raw Data'!$L$2:$L$395,"LOSS")</x:f>
        <x:v>4</x:v>
      </x:c>
      <x:c r="E33" s="111" t="n">
        <x:f>IF(B33=0,0,C33/B33)</x:f>
        <x:v>0.5555555555555556</x:v>
      </x:c>
      <x:c r="F33" s="117" t="n">
        <x:f>SUMIF('Raw Data'!$K$2:$K$395,A33,'Raw Data'!$I$2:$I$395)-SUMIF('Raw Data'!$K$2:$K$395,A33,'Raw Data'!$J$2:$J$395)</x:f>
        <x:v>-7.090000000000003</x:v>
      </x:c>
    </x:row>
    <x:row r="34">
      <x:c r="A34" s="99" t="str">
        <x:v>GOLD Paradise Channel</x:v>
      </x:c>
      <x:c r="B34" s="105" t="n">
        <x:f>COUNTIF('Raw Data'!$K$2:$K$395,A34)</x:f>
        <x:v>8</x:v>
      </x:c>
      <x:c r="C34" s="105" t="n">
        <x:f>COUNTIFS('Raw Data'!$K$2:$K$395,A34,'Raw Data'!$L$2:$L$395,"WIN")</x:f>
        <x:v>4</x:v>
      </x:c>
      <x:c r="D34" s="105" t="n">
        <x:f>COUNTIFS('Raw Data'!$K$2:$K$395,A34,'Raw Data'!$L$2:$L$395,"LOSS")</x:f>
        <x:v>4</x:v>
      </x:c>
      <x:c r="E34" s="111" t="n">
        <x:f>IF(B34=0,0,C34/B34)</x:f>
        <x:v>0.5</x:v>
      </x:c>
      <x:c r="F34" s="117" t="n">
        <x:f>SUMIF('Raw Data'!$K$2:$K$395,A34,'Raw Data'!$I$2:$I$395)-SUMIF('Raw Data'!$K$2:$K$395,A34,'Raw Data'!$J$2:$J$395)</x:f>
        <x:v>-1.9200000000000017</x:v>
      </x:c>
    </x:row>
    <x:row r="35">
      <x:c r="A35" s="99" t="str">
        <x:v>GOLD ANALYSIS</x:v>
      </x:c>
      <x:c r="B35" s="105" t="n">
        <x:f>COUNTIF('Raw Data'!$K$2:$K$395,A35)</x:f>
        <x:v>6</x:v>
      </x:c>
      <x:c r="C35" s="105" t="n">
        <x:f>COUNTIFS('Raw Data'!$K$2:$K$395,A35,'Raw Data'!$L$2:$L$395,"WIN")</x:f>
        <x:v>3</x:v>
      </x:c>
      <x:c r="D35" s="105" t="n">
        <x:f>COUNTIFS('Raw Data'!$K$2:$K$395,A35,'Raw Data'!$L$2:$L$395,"LOSS")</x:f>
        <x:v>3</x:v>
      </x:c>
      <x:c r="E35" s="111" t="n">
        <x:f>IF(B35=0,0,C35/B35)</x:f>
        <x:v>0.5</x:v>
      </x:c>
      <x:c r="F35" s="117" t="n">
        <x:f>SUMIF('Raw Data'!$K$2:$K$395,A35,'Raw Data'!$I$2:$I$395)-SUMIF('Raw Data'!$K$2:$K$395,A35,'Raw Data'!$J$2:$J$395)</x:f>
        <x:v>-8.23</x:v>
      </x:c>
    </x:row>
    <x:row r="36">
      <x:c r="A36" s="99" t="str">
        <x:v>GOLD ANALYSIS EXPERTS</x:v>
      </x:c>
      <x:c r="B36" s="105" t="n">
        <x:f>COUNTIF('Raw Data'!$K$2:$K$395,A36)</x:f>
        <x:v>4</x:v>
      </x:c>
      <x:c r="C36" s="105" t="n">
        <x:f>COUNTIFS('Raw Data'!$K$2:$K$395,A36,'Raw Data'!$L$2:$L$395,"WIN")</x:f>
        <x:v>2</x:v>
      </x:c>
      <x:c r="D36" s="105" t="n">
        <x:f>COUNTIFS('Raw Data'!$K$2:$K$395,A36,'Raw Data'!$L$2:$L$395,"LOSS")</x:f>
        <x:v>2</x:v>
      </x:c>
      <x:c r="E36" s="111" t="n">
        <x:f>IF(B36=0,0,C36/B36)</x:f>
        <x:v>0.5</x:v>
      </x:c>
      <x:c r="F36" s="117" t="n">
        <x:f>SUMIF('Raw Data'!$K$2:$K$395,A36,'Raw Data'!$I$2:$I$395)-SUMIF('Raw Data'!$K$2:$K$395,A36,'Raw Data'!$J$2:$J$395)</x:f>
        <x:v>-19.5</x:v>
      </x:c>
    </x:row>
    <x:row r="37">
      <x:c r="A37" s="99" t="str">
        <x:v>XAUUSD US30 MASTE</x:v>
      </x:c>
      <x:c r="B37" s="105" t="n">
        <x:f>COUNTIF('Raw Data'!$K$2:$K$395,A37)</x:f>
        <x:v>7</x:v>
      </x:c>
      <x:c r="C37" s="105" t="n">
        <x:f>COUNTIFS('Raw Data'!$K$2:$K$395,A37,'Raw Data'!$L$2:$L$395,"WIN")</x:f>
        <x:v>3</x:v>
      </x:c>
      <x:c r="D37" s="105" t="n">
        <x:f>COUNTIFS('Raw Data'!$K$2:$K$395,A37,'Raw Data'!$L$2:$L$395,"LOSS")</x:f>
        <x:v>4</x:v>
      </x:c>
      <x:c r="E37" s="111" t="n">
        <x:f>IF(B37=0,0,C37/B37)</x:f>
        <x:v>0.42857142857142855</x:v>
      </x:c>
      <x:c r="F37" s="117" t="n">
        <x:f>SUMIF('Raw Data'!$K$2:$K$395,A37,'Raw Data'!$I$2:$I$395)-SUMIF('Raw Data'!$K$2:$K$395,A37,'Raw Data'!$J$2:$J$395)</x:f>
        <x:v>-42.129999999999995</x:v>
      </x:c>
    </x:row>
    <x:row r="38">
      <x:c r="A38" s="99" t="str">
        <x:v>Eliz FX Acade</x:v>
      </x:c>
      <x:c r="B38" s="105" t="n">
        <x:f>COUNTIF('Raw Data'!$K$2:$K$395,A38)</x:f>
        <x:v>3</x:v>
      </x:c>
      <x:c r="C38" s="105" t="n">
        <x:f>COUNTIFS('Raw Data'!$K$2:$K$395,A38,'Raw Data'!$L$2:$L$395,"WIN")</x:f>
        <x:v>1</x:v>
      </x:c>
      <x:c r="D38" s="105" t="n">
        <x:f>COUNTIFS('Raw Data'!$K$2:$K$395,A38,'Raw Data'!$L$2:$L$395,"LOSS")</x:f>
        <x:v>2</x:v>
      </x:c>
      <x:c r="E38" s="111" t="n">
        <x:f>IF(B38=0,0,C38/B38)</x:f>
        <x:v>0.3333333333333333</x:v>
      </x:c>
      <x:c r="F38" s="117" t="n">
        <x:f>SUMIF('Raw Data'!$K$2:$K$395,A38,'Raw Data'!$I$2:$I$395)-SUMIF('Raw Data'!$K$2:$K$395,A38,'Raw Data'!$J$2:$J$395)</x:f>
        <x:v>-15.46</x:v>
      </x:c>
    </x:row>
    <x:row r="39">
      <x:c r="A39" s="99" t="str">
        <x:v>Eliz FX Academy</x:v>
      </x:c>
      <x:c r="B39" s="105" t="n">
        <x:f>COUNTIF('Raw Data'!$K$2:$K$395,A39)</x:f>
        <x:v>3</x:v>
      </x:c>
      <x:c r="C39" s="105" t="n">
        <x:f>COUNTIFS('Raw Data'!$K$2:$K$395,A39,'Raw Data'!$L$2:$L$395,"WIN")</x:f>
        <x:v>1</x:v>
      </x:c>
      <x:c r="D39" s="105" t="n">
        <x:f>COUNTIFS('Raw Data'!$K$2:$K$395,A39,'Raw Data'!$L$2:$L$395,"LOSS")</x:f>
        <x:v>2</x:v>
      </x:c>
      <x:c r="E39" s="111" t="n">
        <x:f>IF(B39=0,0,C39/B39)</x:f>
        <x:v>0.3333333333333333</x:v>
      </x:c>
      <x:c r="F39" s="117" t="n">
        <x:f>SUMIF('Raw Data'!$K$2:$K$395,A39,'Raw Data'!$I$2:$I$395)-SUMIF('Raw Data'!$K$2:$K$395,A39,'Raw Data'!$J$2:$J$395)</x:f>
        <x:v>-4.5</x:v>
      </x:c>
    </x:row>
    <x:row r="40">
      <x:c r="A40" s="99" t="str">
        <x:v>Susan Reynolds</x:v>
      </x:c>
      <x:c r="B40" s="105" t="n">
        <x:f>COUNTIF('Raw Data'!$K$2:$K$395,A40)</x:f>
        <x:v>3</x:v>
      </x:c>
      <x:c r="C40" s="105" t="n">
        <x:f>COUNTIFS('Raw Data'!$K$2:$K$395,A40,'Raw Data'!$L$2:$L$395,"WIN")</x:f>
        <x:v>1</x:v>
      </x:c>
      <x:c r="D40" s="105" t="n">
        <x:f>COUNTIFS('Raw Data'!$K$2:$K$395,A40,'Raw Data'!$L$2:$L$395,"LOSS")</x:f>
        <x:v>2</x:v>
      </x:c>
      <x:c r="E40" s="111" t="n">
        <x:f>IF(B40=0,0,C40/B40)</x:f>
        <x:v>0.3333333333333333</x:v>
      </x:c>
      <x:c r="F40" s="117" t="n">
        <x:f>SUMIF('Raw Data'!$K$2:$K$395,A40,'Raw Data'!$I$2:$I$395)-SUMIF('Raw Data'!$K$2:$K$395,A40,'Raw Data'!$J$2:$J$395)</x:f>
        <x:v>-10</x:v>
      </x:c>
    </x:row>
    <x:row r="41">
      <x:c r="A41" s="99" t="str">
        <x:v>XAUUSD/TRADING</x:v>
      </x:c>
      <x:c r="B41" s="105" t="n">
        <x:f>COUNTIF('Raw Data'!$K$2:$K$395,A41)</x:f>
        <x:v>3</x:v>
      </x:c>
      <x:c r="C41" s="105" t="n">
        <x:f>COUNTIFS('Raw Data'!$K$2:$K$395,A41,'Raw Data'!$L$2:$L$395,"WIN")</x:f>
        <x:v>1</x:v>
      </x:c>
      <x:c r="D41" s="105" t="n">
        <x:f>COUNTIFS('Raw Data'!$K$2:$K$395,A41,'Raw Data'!$L$2:$L$395,"LOSS")</x:f>
        <x:v>2</x:v>
      </x:c>
      <x:c r="E41" s="111" t="n">
        <x:f>IF(B41=0,0,C41/B41)</x:f>
        <x:v>0.3333333333333333</x:v>
      </x:c>
      <x:c r="F41" s="117" t="n">
        <x:f>SUMIF('Raw Data'!$K$2:$K$395,A41,'Raw Data'!$I$2:$I$395)-SUMIF('Raw Data'!$K$2:$K$395,A41,'Raw Data'!$J$2:$J$395)</x:f>
        <x:v>-12.5</x:v>
      </x:c>
    </x:row>
    <x:row r="42">
      <x:c r="A42" s="99" t="str">
        <x:v>GOLD MARKET ACADEMY</x:v>
      </x:c>
      <x:c r="B42" s="105" t="n">
        <x:f>COUNTIF('Raw Data'!$K$2:$K$395,A42)</x:f>
        <x:v>7</x:v>
      </x:c>
      <x:c r="C42" s="105" t="n">
        <x:f>COUNTIFS('Raw Data'!$K$2:$K$395,A42,'Raw Data'!$L$2:$L$395,"WIN")</x:f>
        <x:v>2</x:v>
      </x:c>
      <x:c r="D42" s="105" t="n">
        <x:f>COUNTIFS('Raw Data'!$K$2:$K$395,A42,'Raw Data'!$L$2:$L$395,"LOSS")</x:f>
        <x:v>5</x:v>
      </x:c>
      <x:c r="E42" s="111" t="n">
        <x:f>IF(B42=0,0,C42/B42)</x:f>
        <x:v>0.2857142857142857</x:v>
      </x:c>
      <x:c r="F42" s="117" t="n">
        <x:f>SUMIF('Raw Data'!$K$2:$K$395,A42,'Raw Data'!$I$2:$I$395)-SUMIF('Raw Data'!$K$2:$K$395,A42,'Raw Data'!$J$2:$J$395)</x:f>
        <x:v>-41</x:v>
      </x:c>
    </x:row>
    <x:row r="43">
      <x:c r="A43" s="100" t="str">
        <x:v>Wall Street Traders Club</x:v>
      </x:c>
      <x:c r="B43" s="106" t="n">
        <x:f>COUNTIF('Raw Data'!$K$2:$K$395,A43)</x:f>
        <x:v>4</x:v>
      </x:c>
      <x:c r="C43" s="106" t="n">
        <x:f>COUNTIFS('Raw Data'!$K$2:$K$395,A43,'Raw Data'!$L$2:$L$395,"WIN")</x:f>
        <x:v>1</x:v>
      </x:c>
      <x:c r="D43" s="106" t="n">
        <x:f>COUNTIFS('Raw Data'!$K$2:$K$395,A43,'Raw Data'!$L$2:$L$395,"LOSS")</x:f>
        <x:v>3</x:v>
      </x:c>
      <x:c r="E43" s="112" t="n">
        <x:f>IF(B43=0,0,C43/B43)</x:f>
        <x:v>0.25</x:v>
      </x:c>
      <x:c r="F43" s="118" t="n">
        <x:f>SUMIF('Raw Data'!$K$2:$K$395,A43,'Raw Data'!$I$2:$I$395)-SUMIF('Raw Data'!$K$2:$K$395,A43,'Raw Data'!$J$2:$J$395)</x:f>
        <x:v>-12.14</x:v>
      </x:c>
    </x:row>
  </x:sheetData>
  <x:mergeCells>
    <x:mergeCell ref="A1:N1"/>
    <x:mergeCell ref="A2:N2"/>
    <x:mergeCell ref="A4:C4"/>
    <x:mergeCell ref="D4:F4"/>
    <x:mergeCell ref="G4:I4"/>
    <x:mergeCell ref="J4:L4"/>
    <x:mergeCell ref="A5:C6"/>
    <x:mergeCell ref="D5:F6"/>
    <x:mergeCell ref="G5:I6"/>
    <x:mergeCell ref="J5:L6"/>
    <x:mergeCell ref="A8:F8"/>
  </x:mergeCells>
  <x:conditionalFormatting sqref="E10:E43">
    <x:cfRule type="colorScale" priority="1">
      <x:colorScale>
        <x:cfvo type="min"/>
        <x:cfvo type="percentile" val="50"/>
        <x:cfvo type="max"/>
        <x:color rgb="FFFECACA"/>
        <x:color rgb="FFFEF3C7"/>
        <x:color rgb="FFBBF7D0"/>
      </x:colorScale>
    </x:cfRule>
  </x:conditionalFormatting>
  <x:conditionalFormatting sqref="F10:F43">
    <x:cfRule type="cellIs" dxfId="0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1ab3eae0ffaa42ef"/>
</x:worksheet>
</file>